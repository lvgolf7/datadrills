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2b9e1d662c96ecd/Desktop/"/>
    </mc:Choice>
  </mc:AlternateContent>
  <xr:revisionPtr revIDLastSave="60" documentId="8_{CC8E3B3F-C035-4520-B393-C076DCF62086}" xr6:coauthVersionLast="47" xr6:coauthVersionMax="47" xr10:uidLastSave="{2C0832E6-0844-4EEB-A101-14614911EDD3}"/>
  <bookViews>
    <workbookView xWindow="-98" yWindow="-98" windowWidth="21795" windowHeight="13875" xr2:uid="{B4686C5D-006B-4F78-A0C9-0BC0836B3714}"/>
  </bookViews>
  <sheets>
    <sheet name="manhattan_property_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G2" i="1" a="1"/>
  <c r="G2" i="1" s="1"/>
  <c r="G3" i="1" a="1"/>
  <c r="G3" i="1"/>
  <c r="G4" i="1" a="1"/>
  <c r="G4" i="1" s="1"/>
  <c r="G6" i="1" a="1"/>
  <c r="G6" i="1"/>
  <c r="G7" i="1" a="1"/>
  <c r="G7" i="1" s="1"/>
  <c r="G8" i="1" a="1"/>
  <c r="G8" i="1"/>
  <c r="G9" i="1" a="1"/>
  <c r="G9" i="1" s="1"/>
  <c r="G10" i="1" a="1"/>
  <c r="G10" i="1" s="1"/>
  <c r="G11" i="1" a="1"/>
  <c r="G11" i="1" s="1"/>
  <c r="G12" i="1" a="1"/>
  <c r="G12" i="1" s="1"/>
  <c r="G13" i="1" a="1"/>
  <c r="G13" i="1"/>
  <c r="G14" i="1" a="1"/>
  <c r="G14" i="1" s="1"/>
  <c r="G16" i="1" a="1"/>
  <c r="G16" i="1"/>
  <c r="G17" i="1" a="1"/>
  <c r="G17" i="1" s="1"/>
  <c r="G18" i="1" a="1"/>
  <c r="G18" i="1" s="1"/>
  <c r="G19" i="1" a="1"/>
  <c r="G19" i="1"/>
  <c r="G20" i="1" a="1"/>
  <c r="G20" i="1"/>
  <c r="G21" i="1" a="1"/>
  <c r="G21" i="1"/>
  <c r="G22" i="1" a="1"/>
  <c r="G22" i="1" s="1"/>
  <c r="G23" i="1" a="1"/>
  <c r="G23" i="1" s="1"/>
  <c r="G24" i="1" a="1"/>
  <c r="G24" i="1" s="1"/>
  <c r="G26" i="1" a="1"/>
  <c r="G26" i="1"/>
  <c r="G27" i="1" a="1"/>
  <c r="G27" i="1" s="1"/>
  <c r="G28" i="1" a="1"/>
  <c r="G28" i="1"/>
  <c r="G29" i="1" a="1"/>
  <c r="G29" i="1" s="1"/>
  <c r="G30" i="1" a="1"/>
  <c r="G30" i="1"/>
  <c r="G31" i="1" a="1"/>
  <c r="G31" i="1" s="1"/>
  <c r="G32" i="1" a="1"/>
  <c r="G32" i="1" s="1"/>
  <c r="G33" i="1" a="1"/>
  <c r="G33" i="1" s="1"/>
  <c r="G35" i="1" a="1"/>
  <c r="G35" i="1"/>
  <c r="G36" i="1" a="1"/>
  <c r="G36" i="1" s="1"/>
  <c r="G37" i="1" a="1"/>
  <c r="G37" i="1"/>
  <c r="G38" i="1" a="1"/>
  <c r="G38" i="1" s="1"/>
  <c r="G40" i="1" a="1"/>
  <c r="G40" i="1" s="1"/>
  <c r="G42" i="1" a="1"/>
  <c r="G42" i="1" s="1"/>
  <c r="G43" i="1" a="1"/>
  <c r="G43" i="1" s="1"/>
  <c r="G44" i="1" a="1"/>
  <c r="G44" i="1"/>
  <c r="G45" i="1" a="1"/>
  <c r="G45" i="1"/>
  <c r="G46" i="1" a="1"/>
  <c r="G46" i="1"/>
  <c r="G48" i="1" a="1"/>
  <c r="G48" i="1"/>
  <c r="G49" i="1" a="1"/>
  <c r="G49" i="1" s="1"/>
  <c r="G51" i="1" a="1"/>
  <c r="G51" i="1"/>
  <c r="G52" i="1" a="1"/>
  <c r="G52" i="1" s="1"/>
  <c r="G53" i="1" a="1"/>
  <c r="G53" i="1"/>
  <c r="G54" i="1" a="1"/>
  <c r="G54" i="1" s="1"/>
  <c r="G57" i="1" a="1"/>
  <c r="G57" i="1" s="1"/>
  <c r="G58" i="1" a="1"/>
  <c r="G58" i="1" s="1"/>
  <c r="G59" i="1" a="1"/>
  <c r="G59" i="1" s="1"/>
  <c r="G60" i="1" a="1"/>
  <c r="G60" i="1"/>
  <c r="G62" i="1" a="1"/>
  <c r="G62" i="1" s="1"/>
  <c r="G63" i="1" a="1"/>
  <c r="G63" i="1" s="1"/>
  <c r="G68" i="1" a="1"/>
  <c r="G68" i="1"/>
  <c r="G69" i="1" a="1"/>
  <c r="G69" i="1" s="1"/>
  <c r="G70" i="1" a="1"/>
  <c r="G70" i="1"/>
  <c r="G71" i="1" a="1"/>
  <c r="G71" i="1" s="1"/>
  <c r="G72" i="1" a="1"/>
  <c r="G72" i="1" s="1"/>
  <c r="G74" i="1" a="1"/>
  <c r="G74" i="1"/>
  <c r="G75" i="1" a="1"/>
  <c r="G75" i="1" s="1"/>
  <c r="G76" i="1" a="1"/>
  <c r="G76" i="1"/>
  <c r="G77" i="1" a="1"/>
  <c r="G77" i="1" s="1"/>
  <c r="G78" i="1" a="1"/>
  <c r="G78" i="1" s="1"/>
  <c r="G79" i="1" a="1"/>
  <c r="G79" i="1" s="1"/>
  <c r="G80" i="1" a="1"/>
  <c r="G80" i="1"/>
  <c r="G81" i="1" a="1"/>
  <c r="G81" i="1" s="1"/>
  <c r="G82" i="1" a="1"/>
  <c r="G82" i="1" s="1"/>
  <c r="G84" i="1" a="1"/>
  <c r="G84" i="1"/>
  <c r="G85" i="1" a="1"/>
  <c r="G85" i="1"/>
  <c r="G86" i="1" a="1"/>
  <c r="G86" i="1" s="1"/>
  <c r="G87" i="1" a="1"/>
  <c r="G87" i="1" s="1"/>
  <c r="G88" i="1" a="1"/>
  <c r="G88" i="1" s="1"/>
  <c r="G90" i="1" a="1"/>
  <c r="G90" i="1"/>
  <c r="G91" i="1" a="1"/>
  <c r="G91" i="1"/>
  <c r="G92" i="1" a="1"/>
  <c r="G92" i="1" s="1"/>
  <c r="G93" i="1" a="1"/>
  <c r="G93" i="1" s="1"/>
  <c r="G94" i="1" a="1"/>
  <c r="G94" i="1" s="1"/>
  <c r="G96" i="1" a="1"/>
  <c r="G96" i="1"/>
  <c r="G97" i="1" a="1"/>
  <c r="G97" i="1" s="1"/>
  <c r="G98" i="1" a="1"/>
  <c r="G98" i="1"/>
  <c r="G99" i="1" a="1"/>
  <c r="G99" i="1" s="1"/>
  <c r="G100" i="1" a="1"/>
  <c r="G100" i="1"/>
  <c r="G101" i="1" a="1"/>
  <c r="G101" i="1" s="1"/>
  <c r="G102" i="1" a="1"/>
  <c r="G102" i="1" s="1"/>
  <c r="G103" i="1" a="1"/>
  <c r="G103" i="1"/>
  <c r="G104" i="1" a="1"/>
  <c r="G104" i="1"/>
  <c r="G105" i="1" a="1"/>
  <c r="G105" i="1"/>
  <c r="G106" i="1" a="1"/>
  <c r="G106" i="1" s="1"/>
  <c r="G107" i="1" a="1"/>
  <c r="G107" i="1" s="1"/>
  <c r="G108" i="1" a="1"/>
  <c r="G108" i="1" s="1"/>
  <c r="G109" i="1" a="1"/>
  <c r="G109" i="1"/>
  <c r="G110" i="1" a="1"/>
  <c r="G110" i="1" s="1"/>
  <c r="G111" i="1" a="1"/>
  <c r="G111" i="1"/>
  <c r="G113" i="1" a="1"/>
  <c r="G113" i="1" s="1"/>
  <c r="G115" i="1" a="1"/>
  <c r="G115" i="1"/>
  <c r="G117" i="1" a="1"/>
  <c r="G117" i="1" s="1"/>
  <c r="G118" i="1" a="1"/>
  <c r="G118" i="1"/>
  <c r="G119" i="1" a="1"/>
  <c r="G119" i="1"/>
  <c r="G120" i="1" a="1"/>
  <c r="G120" i="1" s="1"/>
  <c r="G121" i="1" a="1"/>
  <c r="G121" i="1"/>
  <c r="G122" i="1" a="1"/>
  <c r="G122" i="1" s="1"/>
  <c r="G123" i="1" a="1"/>
  <c r="G123" i="1" s="1"/>
  <c r="G125" i="1" a="1"/>
  <c r="G125" i="1" s="1"/>
  <c r="G126" i="1" a="1"/>
  <c r="G126" i="1"/>
  <c r="G127" i="1" a="1"/>
  <c r="G127" i="1" s="1"/>
  <c r="G128" i="1" a="1"/>
  <c r="G128" i="1"/>
  <c r="G129" i="1" a="1"/>
  <c r="G129" i="1" s="1"/>
  <c r="G130" i="1" a="1"/>
  <c r="G130" i="1"/>
  <c r="G131" i="1" a="1"/>
  <c r="G131" i="1" s="1"/>
  <c r="G132" i="1" a="1"/>
  <c r="G132" i="1" s="1"/>
  <c r="G134" i="1" a="1"/>
  <c r="G134" i="1" s="1"/>
  <c r="G137" i="1" a="1"/>
  <c r="G137" i="1" s="1"/>
  <c r="G138" i="1" a="1"/>
  <c r="G138" i="1"/>
  <c r="G141" i="1" a="1"/>
  <c r="G141" i="1"/>
  <c r="G142" i="1" a="1"/>
  <c r="G142" i="1" s="1"/>
  <c r="K2" i="1" a="1"/>
  <c r="K2" i="1" s="1"/>
  <c r="N2" i="1" s="1"/>
  <c r="N7" i="1" l="1"/>
  <c r="N36" i="1"/>
  <c r="N26" i="1"/>
  <c r="N16" i="1"/>
  <c r="N6" i="1"/>
  <c r="N32" i="1"/>
  <c r="N12" i="1"/>
  <c r="N31" i="1"/>
  <c r="N11" i="1"/>
  <c r="N10" i="1"/>
  <c r="N9" i="1"/>
  <c r="N18" i="1"/>
  <c r="N17" i="1"/>
  <c r="N25" i="1"/>
  <c r="N15" i="1"/>
  <c r="N5" i="1"/>
  <c r="N33" i="1"/>
  <c r="N22" i="1"/>
  <c r="N21" i="1"/>
  <c r="N30" i="1"/>
  <c r="N20" i="1"/>
  <c r="N29" i="1"/>
  <c r="N19" i="1"/>
  <c r="N28" i="1"/>
  <c r="N8" i="1"/>
  <c r="N27" i="1"/>
  <c r="N35" i="1"/>
  <c r="N34" i="1"/>
  <c r="N24" i="1"/>
  <c r="N14" i="1"/>
  <c r="N4" i="1"/>
  <c r="N23" i="1"/>
  <c r="N13" i="1"/>
  <c r="N3" i="1"/>
  <c r="M2" i="1"/>
  <c r="O2" i="1" s="1"/>
  <c r="M36" i="1"/>
  <c r="M27" i="1"/>
  <c r="M26" i="1"/>
  <c r="O31" i="1"/>
  <c r="G124" i="1" s="1" a="1"/>
  <c r="G124" i="1" s="1"/>
  <c r="M7" i="1"/>
  <c r="M17" i="1"/>
  <c r="M16" i="1"/>
  <c r="M6" i="1"/>
  <c r="M33" i="1"/>
  <c r="M13" i="1"/>
  <c r="M3" i="1"/>
  <c r="M32" i="1"/>
  <c r="M22" i="1"/>
  <c r="M12" i="1"/>
  <c r="M25" i="1"/>
  <c r="M5" i="1"/>
  <c r="M34" i="1"/>
  <c r="M24" i="1"/>
  <c r="M14" i="1"/>
  <c r="M4" i="1"/>
  <c r="M23" i="1"/>
  <c r="M31" i="1"/>
  <c r="M21" i="1"/>
  <c r="M11" i="1"/>
  <c r="M35" i="1"/>
  <c r="M15" i="1"/>
  <c r="M30" i="1"/>
  <c r="M20" i="1"/>
  <c r="O20" i="1" s="1"/>
  <c r="M10" i="1"/>
  <c r="M29" i="1"/>
  <c r="M19" i="1"/>
  <c r="M9" i="1"/>
  <c r="M28" i="1"/>
  <c r="M18" i="1"/>
  <c r="M8" i="1"/>
  <c r="G15" i="1" l="1" a="1"/>
  <c r="G15" i="1" s="1"/>
  <c r="G5" i="1" a="1"/>
  <c r="G5" i="1" s="1"/>
  <c r="O16" i="1"/>
  <c r="O30" i="1"/>
  <c r="O6" i="1"/>
  <c r="G25" i="1" s="1" a="1"/>
  <c r="G25" i="1" s="1"/>
  <c r="O32" i="1"/>
  <c r="O17" i="1"/>
  <c r="O10" i="1"/>
  <c r="O24" i="1"/>
  <c r="G83" i="1" s="1" a="1"/>
  <c r="G83" i="1" s="1"/>
  <c r="O8" i="1"/>
  <c r="O34" i="1"/>
  <c r="O11" i="1"/>
  <c r="O21" i="1"/>
  <c r="G61" i="1" s="1" a="1"/>
  <c r="G61" i="1" s="1"/>
  <c r="O12" i="1"/>
  <c r="O22" i="1"/>
  <c r="O9" i="1"/>
  <c r="O7" i="1"/>
  <c r="G34" i="1" s="1" a="1"/>
  <c r="G34" i="1" s="1"/>
  <c r="O26" i="1"/>
  <c r="O36" i="1"/>
  <c r="O27" i="1"/>
  <c r="O14" i="1"/>
  <c r="O3" i="1"/>
  <c r="O28" i="1"/>
  <c r="O18" i="1"/>
  <c r="O23" i="1"/>
  <c r="O33" i="1"/>
  <c r="O5" i="1"/>
  <c r="O13" i="1"/>
  <c r="O15" i="1"/>
  <c r="O25" i="1"/>
  <c r="O19" i="1"/>
  <c r="O4" i="1"/>
  <c r="O35" i="1"/>
  <c r="G140" i="1" s="1" a="1"/>
  <c r="G140" i="1" s="1"/>
  <c r="O29" i="1"/>
  <c r="G139" i="1" l="1" a="1"/>
  <c r="G139" i="1" s="1"/>
  <c r="G135" i="1" a="1"/>
  <c r="G135" i="1" s="1"/>
  <c r="G136" i="1" a="1"/>
  <c r="G136" i="1" s="1"/>
  <c r="G133" i="1" a="1"/>
  <c r="G133" i="1" s="1"/>
  <c r="G89" i="1" a="1"/>
  <c r="G89" i="1" s="1"/>
  <c r="G95" i="1" a="1"/>
  <c r="G95" i="1" s="1"/>
  <c r="G50" i="1" a="1"/>
  <c r="G50" i="1" s="1"/>
  <c r="G47" i="1" a="1"/>
  <c r="G47" i="1" s="1"/>
  <c r="G39" i="1" a="1"/>
  <c r="G39" i="1" s="1"/>
  <c r="G41" i="1" a="1"/>
  <c r="G41" i="1" s="1"/>
  <c r="G56" i="1" a="1"/>
  <c r="G56" i="1" s="1"/>
  <c r="G55" i="1" a="1"/>
  <c r="G55" i="1" s="1"/>
  <c r="G65" i="1" a="1"/>
  <c r="G65" i="1" s="1"/>
  <c r="G66" i="1" a="1"/>
  <c r="G66" i="1" s="1"/>
  <c r="G64" i="1" a="1"/>
  <c r="G64" i="1" s="1"/>
  <c r="G67" i="1" a="1"/>
  <c r="G67" i="1" s="1"/>
  <c r="G73" i="1" a="1"/>
  <c r="G73" i="1" s="1"/>
  <c r="G114" i="1" a="1"/>
  <c r="G114" i="1" s="1"/>
  <c r="G116" i="1" a="1"/>
  <c r="G116" i="1" s="1"/>
  <c r="G112" i="1" a="1"/>
  <c r="G11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<sst xmlns="http://schemas.openxmlformats.org/spreadsheetml/2006/main" count="435" uniqueCount="164">
  <si>
    <t>NEIGHBORHOOD</t>
  </si>
  <si>
    <t>ADDRESS</t>
  </si>
  <si>
    <t>ZIP_CODE</t>
  </si>
  <si>
    <t>BUILDING_CLASS</t>
  </si>
  <si>
    <t>SQUARE_FEET</t>
  </si>
  <si>
    <t>SALE_PRICE</t>
  </si>
  <si>
    <t>CHELSEA</t>
  </si>
  <si>
    <t>150 WEST 15TH STREET</t>
  </si>
  <si>
    <t>A4</t>
  </si>
  <si>
    <t>348 WEST 22 STREET</t>
  </si>
  <si>
    <t>204 WEST 21ST STREET</t>
  </si>
  <si>
    <t>481 WEST 22 STREET</t>
  </si>
  <si>
    <t>344 W 22 STREET</t>
  </si>
  <si>
    <t>304 WEST 18TH STREET</t>
  </si>
  <si>
    <t>224 WEST 22ND STREET</t>
  </si>
  <si>
    <t>A9</t>
  </si>
  <si>
    <t>217 WEST 20 STREET</t>
  </si>
  <si>
    <t>GRAMERCY</t>
  </si>
  <si>
    <t>143 EAST 18 STREET</t>
  </si>
  <si>
    <t>135 EAST 18TH STREET</t>
  </si>
  <si>
    <t>128 EAST 19 STREET</t>
  </si>
  <si>
    <t>135 EAST 19 STREET</t>
  </si>
  <si>
    <t>144 EAST 19TH STREET</t>
  </si>
  <si>
    <t>GREENWICH VILLAGE</t>
  </si>
  <si>
    <t>38 WEST 12</t>
  </si>
  <si>
    <t>110 WEST 13TH STREET</t>
  </si>
  <si>
    <t>11 WEST 12TH ST</t>
  </si>
  <si>
    <t>152 WEST 13 STREET</t>
  </si>
  <si>
    <t>A5</t>
  </si>
  <si>
    <t>6 MAC DOUGAL ALLEY</t>
  </si>
  <si>
    <t>19 DOWNING STREET</t>
  </si>
  <si>
    <t>244 WEST 12TH ST</t>
  </si>
  <si>
    <t>77 BEDFORD STREET</t>
  </si>
  <si>
    <t>36 LEROY STREET</t>
  </si>
  <si>
    <t>370 WEST 11 STREET</t>
  </si>
  <si>
    <t>399 WEST STREET</t>
  </si>
  <si>
    <t>246 WEST 12TH STREET</t>
  </si>
  <si>
    <t>230 WEST 11TH STREET</t>
  </si>
  <si>
    <t>310 WEST 11 STREET</t>
  </si>
  <si>
    <t>85 CHARLES STREET</t>
  </si>
  <si>
    <t>262 WEST 12 STREET</t>
  </si>
  <si>
    <t>256 WEST 4TH STREET</t>
  </si>
  <si>
    <t>75 1/2 BEDFORD STREET</t>
  </si>
  <si>
    <t>63 CHARLES STREET</t>
  </si>
  <si>
    <t>39 BARROW ST</t>
  </si>
  <si>
    <t>39 BARROW STREET</t>
  </si>
  <si>
    <t>HARLEM</t>
  </si>
  <si>
    <t>221 WEST 113 STREET</t>
  </si>
  <si>
    <t>109 WEST 118TH ST</t>
  </si>
  <si>
    <t>240 WEST 121 STREET</t>
  </si>
  <si>
    <t>115 WEST 122 STREET</t>
  </si>
  <si>
    <t>149 WEST 126 STREET</t>
  </si>
  <si>
    <t>133 WEST 123 STREET</t>
  </si>
  <si>
    <t>117 WEST 120TH STREET</t>
  </si>
  <si>
    <t>122 WEST 132ND STREET</t>
  </si>
  <si>
    <t>353 WEST 122 STREET</t>
  </si>
  <si>
    <t>233 WEST 138TH STREET</t>
  </si>
  <si>
    <t>205 WEST 139TH STREET</t>
  </si>
  <si>
    <t>256 WEST 139 STREET</t>
  </si>
  <si>
    <t>231 WEST 139 STREET</t>
  </si>
  <si>
    <t>265 WEST 139 STREET</t>
  </si>
  <si>
    <t>27 HAMILTON TERRACE</t>
  </si>
  <si>
    <t>465 WEST 141ST STREET</t>
  </si>
  <si>
    <t>8 HAMILTON TERRACE</t>
  </si>
  <si>
    <t>3 EAST 128 STREET</t>
  </si>
  <si>
    <t>INWOOD</t>
  </si>
  <si>
    <t>88 TERRACE VIEW AVENUE</t>
  </si>
  <si>
    <t>A1</t>
  </si>
  <si>
    <t>51 ADRIAN AVENUE</t>
  </si>
  <si>
    <t>24 FT CHARLES PLACE</t>
  </si>
  <si>
    <t>49 MARBLE HILL AVENUE</t>
  </si>
  <si>
    <t>MIDTOWN</t>
  </si>
  <si>
    <t>242 EAST 49TH STREET</t>
  </si>
  <si>
    <t>345 WEST 54TH STREET</t>
  </si>
  <si>
    <t>MURRAY HILL</t>
  </si>
  <si>
    <t>133 EAST 38 STREET</t>
  </si>
  <si>
    <t>6 SNIFFEN COURT</t>
  </si>
  <si>
    <t>129 EAST 35 STREET</t>
  </si>
  <si>
    <t>UPPER EAST SIDE</t>
  </si>
  <si>
    <t>340 E 69 ST</t>
  </si>
  <si>
    <t>328 EAST 69 STREET</t>
  </si>
  <si>
    <t>711 PARK AVENUE</t>
  </si>
  <si>
    <t>352 EAST 69TH STREET</t>
  </si>
  <si>
    <t>180 EAST 75TH ST</t>
  </si>
  <si>
    <t>161 EAST 74TH STREET</t>
  </si>
  <si>
    <t>155 EAST 70 STREET</t>
  </si>
  <si>
    <t>41 EAST 74TH STREET</t>
  </si>
  <si>
    <t>171 EAST 73 STREET</t>
  </si>
  <si>
    <t>127 EAST 73RD STREET</t>
  </si>
  <si>
    <t>18 EAST 71 STREET</t>
  </si>
  <si>
    <t>238 EAST 72 STREET</t>
  </si>
  <si>
    <t>123 EAST 69 STREET</t>
  </si>
  <si>
    <t>7 EAST 69 STREET</t>
  </si>
  <si>
    <t>A7</t>
  </si>
  <si>
    <t>209 EAST 71 STREET</t>
  </si>
  <si>
    <t>152 EAST END AVENUE</t>
  </si>
  <si>
    <t>129 EAST 81ST STREET</t>
  </si>
  <si>
    <t>161 EAST 82ND STREET</t>
  </si>
  <si>
    <t>308 EAST 81ST STREET</t>
  </si>
  <si>
    <t>48 EAST 81 STREET</t>
  </si>
  <si>
    <t>148 EAST END AVENUE</t>
  </si>
  <si>
    <t>144 EAST END AVENUE</t>
  </si>
  <si>
    <t>143 EAST 63 STREET</t>
  </si>
  <si>
    <t>57 E 66TH STREET</t>
  </si>
  <si>
    <t>163 EAST 65 STREET</t>
  </si>
  <si>
    <t>166 EAST 64 STREET</t>
  </si>
  <si>
    <t>164 EAST 66 STREET</t>
  </si>
  <si>
    <t>211 EAST 62ND STREET</t>
  </si>
  <si>
    <t>16 EAST 64TH STREET</t>
  </si>
  <si>
    <t>167 E 65TH STREET</t>
  </si>
  <si>
    <t>10 EAST 67 STREET</t>
  </si>
  <si>
    <t>124 EAST 62ND STREET</t>
  </si>
  <si>
    <t>157 EAST 65</t>
  </si>
  <si>
    <t>10 EAST 64 STREET</t>
  </si>
  <si>
    <t>8 EAST 62ND STREET</t>
  </si>
  <si>
    <t>36 EAST 63RD STREET</t>
  </si>
  <si>
    <t>973 FIFTH AVENUE</t>
  </si>
  <si>
    <t>181 EAST 80TH STREET</t>
  </si>
  <si>
    <t>163 EAST 78 STREET</t>
  </si>
  <si>
    <t>175 EAST 78 STREET</t>
  </si>
  <si>
    <t>156 EAST 78 STREET</t>
  </si>
  <si>
    <t>22 EAST 78 STREET</t>
  </si>
  <si>
    <t>61 EAST 80 STREET</t>
  </si>
  <si>
    <t>4 EAST 80TH STREET</t>
  </si>
  <si>
    <t>169 EAST 79TH STREET</t>
  </si>
  <si>
    <t>17 EAST 92ND STREET</t>
  </si>
  <si>
    <t>62 EAST 91ST STREET</t>
  </si>
  <si>
    <t>67 EAST 91 STREET</t>
  </si>
  <si>
    <t>164 EAST 93 STREET</t>
  </si>
  <si>
    <t>534 EAST 87 STREET</t>
  </si>
  <si>
    <t>552 EAST 87TH STREET</t>
  </si>
  <si>
    <t>138 EAST 95 STREET</t>
  </si>
  <si>
    <t>13 EAST 94TH STREET</t>
  </si>
  <si>
    <t>162 EAST 92ND STREET</t>
  </si>
  <si>
    <t>522 EAST 89 STREET</t>
  </si>
  <si>
    <t>307 EAST 87TH STREET</t>
  </si>
  <si>
    <t>133 EAST 92ND ST</t>
  </si>
  <si>
    <t>131 EAST 95 STREET</t>
  </si>
  <si>
    <t>532 EAST 87TH STREET</t>
  </si>
  <si>
    <t>131 EAST 92 STREET</t>
  </si>
  <si>
    <t>UPPER WEST SIDE</t>
  </si>
  <si>
    <t>161 WEST 73 STREET</t>
  </si>
  <si>
    <t>311 WEST 74 STREET</t>
  </si>
  <si>
    <t>131 WEST 70 STREET</t>
  </si>
  <si>
    <t>21 WEST 70TH STREET</t>
  </si>
  <si>
    <t>226 WEST 71ST STREET</t>
  </si>
  <si>
    <t>37 WEST 74 STREET</t>
  </si>
  <si>
    <t>38 WEST 87TH STREET</t>
  </si>
  <si>
    <t>337 WEST 87 STREET</t>
  </si>
  <si>
    <t>308 WEST 88 STREET</t>
  </si>
  <si>
    <t>332 WEST 77TH STREET</t>
  </si>
  <si>
    <t>133 WEST 78 STREET</t>
  </si>
  <si>
    <t>125 WEST 87TH STREET</t>
  </si>
  <si>
    <t>324 WEST 85 STREET</t>
  </si>
  <si>
    <t>52 WEST 84TH STREET</t>
  </si>
  <si>
    <t>315 WEST 84 STREET</t>
  </si>
  <si>
    <t>WASHINGTON HEIGHTS</t>
  </si>
  <si>
    <t>11 SYLVAN TERRACE</t>
  </si>
  <si>
    <t>MARKET_VALUE</t>
  </si>
  <si>
    <t>ZIP_CODE_BUILDING_CLASS</t>
  </si>
  <si>
    <t>avg_sq ft</t>
  </si>
  <si>
    <t>avg_price</t>
  </si>
  <si>
    <t>AVG_PRICE_PER_SQFT</t>
  </si>
  <si>
    <t>Greater than $15,000,000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</si>
</sst>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$&quot;#,##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6" fontId="0" fillId="0" borderId="0" xfId="0" applyNumberFormat="1"/>
    <xf numFmtId="0" fontId="13" fillId="33" borderId="11" xfId="0" applyFont="1" applyFill="1" applyBorder="1"/>
    <xf numFmtId="0" fontId="0" fillId="34" borderId="10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66" formatCode="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C2CB13-D954-44E8-AB95-AF37ACDB3767}" name="Manhattan" displayName="Manhattan" ref="A1:G142" totalsRowShown="0">
  <autoFilter ref="A1:G142" xr:uid="{53C2CB13-D954-44E8-AB95-AF37ACDB3767}"/>
  <tableColumns count="7">
    <tableColumn id="1" xr3:uid="{F3D0898A-18D1-4BF3-BF62-8AD5BF5D44C4}" name="NEIGHBORHOOD"/>
    <tableColumn id="2" xr3:uid="{0ACC82BA-70EE-4E72-B809-8AEC88CD0483}" name="ADDRESS"/>
    <tableColumn id="3" xr3:uid="{34A52F48-9B08-43F8-8D24-BDB84C23AAF7}" name="ZIP_CODE"/>
    <tableColumn id="4" xr3:uid="{D8FA7152-F6DA-4889-AC84-9A1FE1974705}" name="BUILDING_CLASS"/>
    <tableColumn id="5" xr3:uid="{CC92D22B-3F90-4612-99E5-FD5D26BC8DDE}" name="SQUARE_FEET"/>
    <tableColumn id="6" xr3:uid="{EA3E19FE-F316-497B-808C-34ECEDD45462}" name="SALE_PRICE"/>
    <tableColumn id="8" xr3:uid="{ECD003B6-9C62-470A-9F02-C7171983200D}" name="MARKET_VALUE" dataDxfId="0">
      <calculatedColumnFormula array="1">IF(Manhattan[[#This Row],[SALE_PRICE]]=0,_xlfn._xlws.FILTER($O$2:$O$36,($K$2:$K$36=Manhattan[[#This Row],[ZIP_CODE]])*($L$2:$L$36=Manhattan[[#This Row],[BUILDING_CLASS]]))*Manhattan[[#This Row],[SQUARE_FEET]],Manhattan[[#This Row],[SALE_PRICE]])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B8B4D-63CC-43FD-BF42-EC922EE37FB9}">
  <dimension ref="A1:O142"/>
  <sheetViews>
    <sheetView tabSelected="1" workbookViewId="0">
      <selection activeCell="I8" sqref="I8"/>
    </sheetView>
  </sheetViews>
  <sheetFormatPr defaultRowHeight="14.25" x14ac:dyDescent="0.45"/>
  <cols>
    <col min="1" max="1" width="19.59765625" bestFit="1" customWidth="1"/>
    <col min="2" max="2" width="21.6640625" bestFit="1" customWidth="1"/>
    <col min="3" max="3" width="10.59765625" customWidth="1"/>
    <col min="4" max="4" width="16.59765625" customWidth="1"/>
    <col min="5" max="5" width="13.9296875" customWidth="1"/>
    <col min="6" max="6" width="12.33203125" customWidth="1"/>
    <col min="7" max="7" width="15.1328125" style="1" customWidth="1"/>
    <col min="9" max="9" width="21.06640625" bestFit="1" customWidth="1"/>
    <col min="11" max="11" width="16.86328125" bestFit="1" customWidth="1"/>
    <col min="15" max="15" width="18.3984375" bestFit="1" customWidth="1"/>
  </cols>
  <sheetData>
    <row r="1" spans="1:15" ht="14.65" thickBot="1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158</v>
      </c>
      <c r="I1" s="2" t="s">
        <v>163</v>
      </c>
      <c r="K1" t="s">
        <v>159</v>
      </c>
      <c r="M1" t="s">
        <v>160</v>
      </c>
      <c r="N1" t="s">
        <v>161</v>
      </c>
      <c r="O1" t="s">
        <v>162</v>
      </c>
    </row>
    <row r="2" spans="1:15" ht="14.65" thickBot="1" x14ac:dyDescent="0.5">
      <c r="A2" t="s">
        <v>6</v>
      </c>
      <c r="B2" t="s">
        <v>7</v>
      </c>
      <c r="C2">
        <v>10011</v>
      </c>
      <c r="D2" t="s">
        <v>8</v>
      </c>
      <c r="E2">
        <v>8997</v>
      </c>
      <c r="F2">
        <v>14999999</v>
      </c>
      <c r="G2" s="1" cm="1">
        <f t="array" ref="G2">IF(Manhattan[[#This Row],[SALE_PRICE]]=0,_xlfn._xlws.FILTER($O$2:$O$36,($K$2:$K$36=Manhattan[[#This Row],[ZIP_CODE]])*($L$2:$L$36=Manhattan[[#This Row],[BUILDING_CLASS]]))*Manhattan[[#This Row],[SQUARE_FEET]],Manhattan[[#This Row],[SALE_PRICE]])</f>
        <v>14999999</v>
      </c>
      <c r="I2" s="3">
        <f>COUNTIF(Manhattan[MARKET_VALUE],"&gt;15000000")</f>
        <v>19</v>
      </c>
      <c r="K2" cm="1">
        <f t="array" ref="K2:L36">_xlfn.UNIQUE((_xlfn.CHOOSECOLS(Manhattan[],3,4)))</f>
        <v>10011</v>
      </c>
      <c r="L2" t="str">
        <v>A4</v>
      </c>
      <c r="M2">
        <f>AVERAGEIFS(Manhattan[SQUARE_FEET],Manhattan[ZIP_CODE],$K2,Manhattan[BUILDING_CLASS],$L2,Manhattan[SALE_PRICE],"&lt;&gt;0")</f>
        <v>4989.5714285714284</v>
      </c>
      <c r="N2">
        <f>AVERAGEIFS(Manhattan[SALE_PRICE],Manhattan[ZIP_CODE],$K2,Manhattan[BUILDING_CLASS],$L2,$F$2:$F$142,"&lt;&gt;0")</f>
        <v>12874999.857142856</v>
      </c>
      <c r="O2">
        <f>N2/M2</f>
        <v>2580.3819108426146</v>
      </c>
    </row>
    <row r="3" spans="1:15" x14ac:dyDescent="0.45">
      <c r="A3" t="s">
        <v>6</v>
      </c>
      <c r="B3" t="s">
        <v>9</v>
      </c>
      <c r="C3">
        <v>10011</v>
      </c>
      <c r="D3" t="s">
        <v>8</v>
      </c>
      <c r="E3">
        <v>3042</v>
      </c>
      <c r="F3">
        <v>13500000</v>
      </c>
      <c r="G3" s="1" cm="1">
        <f t="array" ref="G3">IF(Manhattan[[#This Row],[SALE_PRICE]]=0,_xlfn._xlws.FILTER($O$2:$O$36,($K$2:$K$36=Manhattan[[#This Row],[ZIP_CODE]])*($L$2:$L$36=Manhattan[[#This Row],[BUILDING_CLASS]]))*Manhattan[[#This Row],[SQUARE_FEET]],Manhattan[[#This Row],[SALE_PRICE]])</f>
        <v>13500000</v>
      </c>
      <c r="K3">
        <v>10011</v>
      </c>
      <c r="L3" t="str">
        <v>A9</v>
      </c>
      <c r="M3">
        <f>AVERAGEIFS(Manhattan[SQUARE_FEET],Manhattan[ZIP_CODE],$K3,Manhattan[BUILDING_CLASS],$L3,Manhattan[SALE_PRICE],"&lt;&gt;0")</f>
        <v>5268</v>
      </c>
      <c r="N3">
        <f>AVERAGEIFS(Manhattan[SALE_PRICE],Manhattan[ZIP_CODE],$K3,Manhattan[BUILDING_CLASS],$L3,$F$2:$F$142,"&lt;&gt;0")</f>
        <v>8953333.333333334</v>
      </c>
      <c r="O3">
        <f t="shared" ref="O3:O36" si="0">N3/M3</f>
        <v>1699.5697291824856</v>
      </c>
    </row>
    <row r="4" spans="1:15" x14ac:dyDescent="0.45">
      <c r="A4" t="s">
        <v>6</v>
      </c>
      <c r="B4" t="s">
        <v>10</v>
      </c>
      <c r="C4">
        <v>10011</v>
      </c>
      <c r="D4" t="s">
        <v>8</v>
      </c>
      <c r="E4">
        <v>3365</v>
      </c>
      <c r="F4">
        <v>7650000</v>
      </c>
      <c r="G4" s="1" cm="1">
        <f t="array" ref="G4">IF(Manhattan[[#This Row],[SALE_PRICE]]=0,_xlfn._xlws.FILTER($O$2:$O$36,($K$2:$K$36=Manhattan[[#This Row],[ZIP_CODE]])*($L$2:$L$36=Manhattan[[#This Row],[BUILDING_CLASS]]))*Manhattan[[#This Row],[SQUARE_FEET]],Manhattan[[#This Row],[SALE_PRICE]])</f>
        <v>7650000</v>
      </c>
      <c r="K4">
        <v>10003</v>
      </c>
      <c r="L4" t="str">
        <v>A4</v>
      </c>
      <c r="M4">
        <f>AVERAGEIFS(Manhattan[SQUARE_FEET],Manhattan[ZIP_CODE],$K4,Manhattan[BUILDING_CLASS],$L4,Manhattan[SALE_PRICE],"&lt;&gt;0")</f>
        <v>4367.8</v>
      </c>
      <c r="N4">
        <f>AVERAGEIFS(Manhattan[SALE_PRICE],Manhattan[ZIP_CODE],$K4,Manhattan[BUILDING_CLASS],$L4,$F$2:$F$142,"&lt;&gt;0")</f>
        <v>5540000</v>
      </c>
      <c r="O4">
        <f t="shared" si="0"/>
        <v>1268.3730940061357</v>
      </c>
    </row>
    <row r="5" spans="1:15" x14ac:dyDescent="0.45">
      <c r="A5" t="s">
        <v>6</v>
      </c>
      <c r="B5" t="s">
        <v>11</v>
      </c>
      <c r="C5">
        <v>10011</v>
      </c>
      <c r="D5" t="s">
        <v>8</v>
      </c>
      <c r="E5">
        <v>3666</v>
      </c>
      <c r="F5">
        <v>0</v>
      </c>
      <c r="G5" s="1" cm="1">
        <f t="array" ref="G5">IF(Manhattan[[#This Row],[SALE_PRICE]]=0,_xlfn._xlws.FILTER($O$2:$O$36,($K$2:$K$36=Manhattan[[#This Row],[ZIP_CODE]])*($L$2:$L$36=Manhattan[[#This Row],[BUILDING_CLASS]]))*Manhattan[[#This Row],[SQUARE_FEET]],Manhattan[[#This Row],[SALE_PRICE]])</f>
        <v>9459680.0851490255</v>
      </c>
      <c r="K5">
        <v>10011</v>
      </c>
      <c r="L5" t="str">
        <v>A5</v>
      </c>
      <c r="M5">
        <f>AVERAGEIFS(Manhattan[SQUARE_FEET],Manhattan[ZIP_CODE],$K5,Manhattan[BUILDING_CLASS],$L5,Manhattan[SALE_PRICE],"&lt;&gt;0")</f>
        <v>3381</v>
      </c>
      <c r="N5">
        <f>AVERAGEIFS(Manhattan[SALE_PRICE],Manhattan[ZIP_CODE],$K5,Manhattan[BUILDING_CLASS],$L5,$F$2:$F$142,"&lt;&gt;0")</f>
        <v>18750000</v>
      </c>
      <c r="O5">
        <f t="shared" si="0"/>
        <v>5545.6965394853596</v>
      </c>
    </row>
    <row r="6" spans="1:15" x14ac:dyDescent="0.45">
      <c r="A6" t="s">
        <v>6</v>
      </c>
      <c r="B6" t="s">
        <v>12</v>
      </c>
      <c r="C6">
        <v>10011</v>
      </c>
      <c r="D6" t="s">
        <v>8</v>
      </c>
      <c r="E6">
        <v>4395</v>
      </c>
      <c r="F6">
        <v>13100000</v>
      </c>
      <c r="G6" s="1" cm="1">
        <f t="array" ref="G6">IF(Manhattan[[#This Row],[SALE_PRICE]]=0,_xlfn._xlws.FILTER($O$2:$O$36,($K$2:$K$36=Manhattan[[#This Row],[ZIP_CODE]])*($L$2:$L$36=Manhattan[[#This Row],[BUILDING_CLASS]]))*Manhattan[[#This Row],[SQUARE_FEET]],Manhattan[[#This Row],[SALE_PRICE]])</f>
        <v>13100000</v>
      </c>
      <c r="K6">
        <v>10014</v>
      </c>
      <c r="L6" t="str">
        <v>A4</v>
      </c>
      <c r="M6">
        <f>AVERAGEIFS(Manhattan[SQUARE_FEET],Manhattan[ZIP_CODE],$K6,Manhattan[BUILDING_CLASS],$L6,Manhattan[SALE_PRICE],"&lt;&gt;0")</f>
        <v>3070.8461538461538</v>
      </c>
      <c r="N6">
        <f>AVERAGEIFS(Manhattan[SALE_PRICE],Manhattan[ZIP_CODE],$K6,Manhattan[BUILDING_CLASS],$L6,$F$2:$F$142,"&lt;&gt;0")</f>
        <v>12996069.23076923</v>
      </c>
      <c r="O6">
        <f t="shared" si="0"/>
        <v>4232.0808596979032</v>
      </c>
    </row>
    <row r="7" spans="1:15" x14ac:dyDescent="0.45">
      <c r="A7" t="s">
        <v>6</v>
      </c>
      <c r="B7" t="s">
        <v>13</v>
      </c>
      <c r="C7">
        <v>10011</v>
      </c>
      <c r="D7" t="s">
        <v>8</v>
      </c>
      <c r="E7">
        <v>3363</v>
      </c>
      <c r="F7">
        <v>4775000</v>
      </c>
      <c r="G7" s="1" cm="1">
        <f t="array" ref="G7">IF(Manhattan[[#This Row],[SALE_PRICE]]=0,_xlfn._xlws.FILTER($O$2:$O$36,($K$2:$K$36=Manhattan[[#This Row],[ZIP_CODE]])*($L$2:$L$36=Manhattan[[#This Row],[BUILDING_CLASS]]))*Manhattan[[#This Row],[SQUARE_FEET]],Manhattan[[#This Row],[SALE_PRICE]])</f>
        <v>4775000</v>
      </c>
      <c r="K7">
        <v>10014</v>
      </c>
      <c r="L7" t="str">
        <v>A9</v>
      </c>
      <c r="M7">
        <f>AVERAGEIFS(Manhattan[SQUARE_FEET],Manhattan[ZIP_CODE],$K7,Manhattan[BUILDING_CLASS],$L7,Manhattan[SALE_PRICE],"&lt;&gt;0")</f>
        <v>2256</v>
      </c>
      <c r="N7">
        <f>AVERAGEIFS(Manhattan[SALE_PRICE],Manhattan[ZIP_CODE],$K7,Manhattan[BUILDING_CLASS],$L7,$F$2:$F$142,"&lt;&gt;0")</f>
        <v>7300000</v>
      </c>
      <c r="O7">
        <f t="shared" si="0"/>
        <v>3235.8156028368794</v>
      </c>
    </row>
    <row r="8" spans="1:15" x14ac:dyDescent="0.45">
      <c r="A8" t="s">
        <v>6</v>
      </c>
      <c r="B8" t="s">
        <v>14</v>
      </c>
      <c r="C8">
        <v>10011</v>
      </c>
      <c r="D8" t="s">
        <v>15</v>
      </c>
      <c r="E8">
        <v>6715</v>
      </c>
      <c r="F8">
        <v>10600000</v>
      </c>
      <c r="G8" s="1" cm="1">
        <f t="array" ref="G8">IF(Manhattan[[#This Row],[SALE_PRICE]]=0,_xlfn._xlws.FILTER($O$2:$O$36,($K$2:$K$36=Manhattan[[#This Row],[ZIP_CODE]])*($L$2:$L$36=Manhattan[[#This Row],[BUILDING_CLASS]]))*Manhattan[[#This Row],[SQUARE_FEET]],Manhattan[[#This Row],[SALE_PRICE]])</f>
        <v>10600000</v>
      </c>
      <c r="K8">
        <v>10026</v>
      </c>
      <c r="L8" t="str">
        <v>A4</v>
      </c>
      <c r="M8">
        <f>AVERAGEIFS(Manhattan[SQUARE_FEET],Manhattan[ZIP_CODE],$K8,Manhattan[BUILDING_CLASS],$L8,Manhattan[SALE_PRICE],"&lt;&gt;0")</f>
        <v>3975</v>
      </c>
      <c r="N8">
        <f>AVERAGEIFS(Manhattan[SALE_PRICE],Manhattan[ZIP_CODE],$K8,Manhattan[BUILDING_CLASS],$L8,$F$2:$F$142,"&lt;&gt;0")</f>
        <v>3215000</v>
      </c>
      <c r="O8">
        <f t="shared" si="0"/>
        <v>808.80503144654085</v>
      </c>
    </row>
    <row r="9" spans="1:15" x14ac:dyDescent="0.45">
      <c r="A9" t="s">
        <v>6</v>
      </c>
      <c r="B9" t="s">
        <v>16</v>
      </c>
      <c r="C9">
        <v>10011</v>
      </c>
      <c r="D9" t="s">
        <v>15</v>
      </c>
      <c r="E9">
        <v>7805</v>
      </c>
      <c r="F9">
        <v>11600000</v>
      </c>
      <c r="G9" s="1" cm="1">
        <f t="array" ref="G9">IF(Manhattan[[#This Row],[SALE_PRICE]]=0,_xlfn._xlws.FILTER($O$2:$O$36,($K$2:$K$36=Manhattan[[#This Row],[ZIP_CODE]])*($L$2:$L$36=Manhattan[[#This Row],[BUILDING_CLASS]]))*Manhattan[[#This Row],[SQUARE_FEET]],Manhattan[[#This Row],[SALE_PRICE]])</f>
        <v>11600000</v>
      </c>
      <c r="K9">
        <v>10027</v>
      </c>
      <c r="L9" t="str">
        <v>A4</v>
      </c>
      <c r="M9">
        <f>AVERAGEIFS(Manhattan[SQUARE_FEET],Manhattan[ZIP_CODE],$K9,Manhattan[BUILDING_CLASS],$L9,Manhattan[SALE_PRICE],"&lt;&gt;0")</f>
        <v>3060</v>
      </c>
      <c r="N9">
        <f>AVERAGEIFS(Manhattan[SALE_PRICE],Manhattan[ZIP_CODE],$K9,Manhattan[BUILDING_CLASS],$L9,$F$2:$F$142,"&lt;&gt;0")</f>
        <v>3130000</v>
      </c>
      <c r="O9">
        <f t="shared" si="0"/>
        <v>1022.875816993464</v>
      </c>
    </row>
    <row r="10" spans="1:15" x14ac:dyDescent="0.45">
      <c r="A10" t="s">
        <v>17</v>
      </c>
      <c r="B10" t="s">
        <v>18</v>
      </c>
      <c r="C10">
        <v>10003</v>
      </c>
      <c r="D10" t="s">
        <v>8</v>
      </c>
      <c r="E10">
        <v>3360</v>
      </c>
      <c r="F10">
        <v>6400000</v>
      </c>
      <c r="G10" s="1" cm="1">
        <f t="array" ref="G10">IF(Manhattan[[#This Row],[SALE_PRICE]]=0,_xlfn._xlws.FILTER($O$2:$O$36,($K$2:$K$36=Manhattan[[#This Row],[ZIP_CODE]])*($L$2:$L$36=Manhattan[[#This Row],[BUILDING_CLASS]]))*Manhattan[[#This Row],[SQUARE_FEET]],Manhattan[[#This Row],[SALE_PRICE]])</f>
        <v>6400000</v>
      </c>
      <c r="K10">
        <v>10027</v>
      </c>
      <c r="L10" t="str">
        <v>A5</v>
      </c>
      <c r="M10">
        <f>AVERAGEIFS(Manhattan[SQUARE_FEET],Manhattan[ZIP_CODE],$K10,Manhattan[BUILDING_CLASS],$L10,Manhattan[SALE_PRICE],"&lt;&gt;0")</f>
        <v>3874</v>
      </c>
      <c r="N10">
        <f>AVERAGEIFS(Manhattan[SALE_PRICE],Manhattan[ZIP_CODE],$K10,Manhattan[BUILDING_CLASS],$L10,$F$2:$F$142,"&lt;&gt;0")</f>
        <v>2475000</v>
      </c>
      <c r="O10">
        <f t="shared" si="0"/>
        <v>638.87454827052147</v>
      </c>
    </row>
    <row r="11" spans="1:15" x14ac:dyDescent="0.45">
      <c r="A11" t="s">
        <v>17</v>
      </c>
      <c r="B11" t="s">
        <v>19</v>
      </c>
      <c r="C11">
        <v>10003</v>
      </c>
      <c r="D11" t="s">
        <v>8</v>
      </c>
      <c r="E11">
        <v>3192</v>
      </c>
      <c r="F11">
        <v>3850000</v>
      </c>
      <c r="G11" s="1" cm="1">
        <f t="array" ref="G11">IF(Manhattan[[#This Row],[SALE_PRICE]]=0,_xlfn._xlws.FILTER($O$2:$O$36,($K$2:$K$36=Manhattan[[#This Row],[ZIP_CODE]])*($L$2:$L$36=Manhattan[[#This Row],[BUILDING_CLASS]]))*Manhattan[[#This Row],[SQUARE_FEET]],Manhattan[[#This Row],[SALE_PRICE]])</f>
        <v>3850000</v>
      </c>
      <c r="K11">
        <v>10027</v>
      </c>
      <c r="L11" t="str">
        <v>A9</v>
      </c>
      <c r="M11">
        <f>AVERAGEIFS(Manhattan[SQUARE_FEET],Manhattan[ZIP_CODE],$K11,Manhattan[BUILDING_CLASS],$L11,Manhattan[SALE_PRICE],"&lt;&gt;0")</f>
        <v>4018.3333333333335</v>
      </c>
      <c r="N11">
        <f>AVERAGEIFS(Manhattan[SALE_PRICE],Manhattan[ZIP_CODE],$K11,Manhattan[BUILDING_CLASS],$L11,$F$2:$F$142,"&lt;&gt;0")</f>
        <v>2728333.3333333335</v>
      </c>
      <c r="O11">
        <f t="shared" si="0"/>
        <v>678.97138116963913</v>
      </c>
    </row>
    <row r="12" spans="1:15" x14ac:dyDescent="0.45">
      <c r="A12" t="s">
        <v>17</v>
      </c>
      <c r="B12" t="s">
        <v>20</v>
      </c>
      <c r="C12">
        <v>10003</v>
      </c>
      <c r="D12" t="s">
        <v>8</v>
      </c>
      <c r="E12">
        <v>6060</v>
      </c>
      <c r="F12">
        <v>6250000</v>
      </c>
      <c r="G12" s="1" cm="1">
        <f t="array" ref="G12">IF(Manhattan[[#This Row],[SALE_PRICE]]=0,_xlfn._xlws.FILTER($O$2:$O$36,($K$2:$K$36=Manhattan[[#This Row],[ZIP_CODE]])*($L$2:$L$36=Manhattan[[#This Row],[BUILDING_CLASS]]))*Manhattan[[#This Row],[SQUARE_FEET]],Manhattan[[#This Row],[SALE_PRICE]])</f>
        <v>6250000</v>
      </c>
      <c r="K12">
        <v>10030</v>
      </c>
      <c r="L12" t="str">
        <v>A4</v>
      </c>
      <c r="M12">
        <f>AVERAGEIFS(Manhattan[SQUARE_FEET],Manhattan[ZIP_CODE],$K12,Manhattan[BUILDING_CLASS],$L12,Manhattan[SALE_PRICE],"&lt;&gt;0")</f>
        <v>4480</v>
      </c>
      <c r="N12">
        <f>AVERAGEIFS(Manhattan[SALE_PRICE],Manhattan[ZIP_CODE],$K12,Manhattan[BUILDING_CLASS],$L12,$F$2:$F$142,"&lt;&gt;0")</f>
        <v>3150000</v>
      </c>
      <c r="O12">
        <f t="shared" si="0"/>
        <v>703.125</v>
      </c>
    </row>
    <row r="13" spans="1:15" x14ac:dyDescent="0.45">
      <c r="A13" t="s">
        <v>17</v>
      </c>
      <c r="B13" t="s">
        <v>21</v>
      </c>
      <c r="C13">
        <v>10003</v>
      </c>
      <c r="D13" t="s">
        <v>8</v>
      </c>
      <c r="E13">
        <v>6798</v>
      </c>
      <c r="F13">
        <v>7400000</v>
      </c>
      <c r="G13" s="1" cm="1">
        <f t="array" ref="G13">IF(Manhattan[[#This Row],[SALE_PRICE]]=0,_xlfn._xlws.FILTER($O$2:$O$36,($K$2:$K$36=Manhattan[[#This Row],[ZIP_CODE]])*($L$2:$L$36=Manhattan[[#This Row],[BUILDING_CLASS]]))*Manhattan[[#This Row],[SQUARE_FEET]],Manhattan[[#This Row],[SALE_PRICE]])</f>
        <v>7400000</v>
      </c>
      <c r="K13">
        <v>10030</v>
      </c>
      <c r="L13" t="str">
        <v>A5</v>
      </c>
      <c r="M13">
        <f>AVERAGEIFS(Manhattan[SQUARE_FEET],Manhattan[ZIP_CODE],$K13,Manhattan[BUILDING_CLASS],$L13,Manhattan[SALE_PRICE],"&lt;&gt;0")</f>
        <v>4238.5</v>
      </c>
      <c r="N13">
        <f>AVERAGEIFS(Manhattan[SALE_PRICE],Manhattan[ZIP_CODE],$K13,Manhattan[BUILDING_CLASS],$L13,$F$2:$F$142,"&lt;&gt;0")</f>
        <v>2855000</v>
      </c>
      <c r="O13">
        <f t="shared" si="0"/>
        <v>673.58735401675119</v>
      </c>
    </row>
    <row r="14" spans="1:15" x14ac:dyDescent="0.45">
      <c r="A14" t="s">
        <v>17</v>
      </c>
      <c r="B14" t="s">
        <v>22</v>
      </c>
      <c r="C14">
        <v>10003</v>
      </c>
      <c r="D14" t="s">
        <v>8</v>
      </c>
      <c r="E14">
        <v>2429</v>
      </c>
      <c r="F14">
        <v>3800000</v>
      </c>
      <c r="G14" s="1" cm="1">
        <f t="array" ref="G14">IF(Manhattan[[#This Row],[SALE_PRICE]]=0,_xlfn._xlws.FILTER($O$2:$O$36,($K$2:$K$36=Manhattan[[#This Row],[ZIP_CODE]])*($L$2:$L$36=Manhattan[[#This Row],[BUILDING_CLASS]]))*Manhattan[[#This Row],[SQUARE_FEET]],Manhattan[[#This Row],[SALE_PRICE]])</f>
        <v>3800000</v>
      </c>
      <c r="K14">
        <v>10031</v>
      </c>
      <c r="L14" t="str">
        <v>A4</v>
      </c>
      <c r="M14">
        <f>AVERAGEIFS(Manhattan[SQUARE_FEET],Manhattan[ZIP_CODE],$K14,Manhattan[BUILDING_CLASS],$L14,Manhattan[SALE_PRICE],"&lt;&gt;0")</f>
        <v>3400</v>
      </c>
      <c r="N14">
        <f>AVERAGEIFS(Manhattan[SALE_PRICE],Manhattan[ZIP_CODE],$K14,Manhattan[BUILDING_CLASS],$L14,$F$2:$F$142,"&lt;&gt;0")</f>
        <v>2825000</v>
      </c>
      <c r="O14">
        <f t="shared" si="0"/>
        <v>830.88235294117646</v>
      </c>
    </row>
    <row r="15" spans="1:15" x14ac:dyDescent="0.45">
      <c r="A15" t="s">
        <v>23</v>
      </c>
      <c r="B15" t="s">
        <v>24</v>
      </c>
      <c r="C15">
        <v>10011</v>
      </c>
      <c r="D15" t="s">
        <v>8</v>
      </c>
      <c r="E15">
        <v>5400</v>
      </c>
      <c r="F15">
        <v>0</v>
      </c>
      <c r="G15" s="1" cm="1">
        <f t="array" ref="G15">IF(Manhattan[[#This Row],[SALE_PRICE]]=0,_xlfn._xlws.FILTER($O$2:$O$36,($K$2:$K$36=Manhattan[[#This Row],[ZIP_CODE]])*($L$2:$L$36=Manhattan[[#This Row],[BUILDING_CLASS]]))*Manhattan[[#This Row],[SQUARE_FEET]],Manhattan[[#This Row],[SALE_PRICE]])</f>
        <v>13934062.318550119</v>
      </c>
      <c r="K15">
        <v>10031</v>
      </c>
      <c r="L15" t="str">
        <v>A9</v>
      </c>
      <c r="M15">
        <f>AVERAGEIFS(Manhattan[SQUARE_FEET],Manhattan[ZIP_CODE],$K15,Manhattan[BUILDING_CLASS],$L15,Manhattan[SALE_PRICE],"&lt;&gt;0")</f>
        <v>5108</v>
      </c>
      <c r="N15">
        <f>AVERAGEIFS(Manhattan[SALE_PRICE],Manhattan[ZIP_CODE],$K15,Manhattan[BUILDING_CLASS],$L15,$F$2:$F$142,"&lt;&gt;0")</f>
        <v>2550000</v>
      </c>
      <c r="O15">
        <f t="shared" si="0"/>
        <v>499.21691464369616</v>
      </c>
    </row>
    <row r="16" spans="1:15" x14ac:dyDescent="0.45">
      <c r="A16" t="s">
        <v>23</v>
      </c>
      <c r="B16" t="s">
        <v>25</v>
      </c>
      <c r="C16">
        <v>10011</v>
      </c>
      <c r="D16" t="s">
        <v>8</v>
      </c>
      <c r="E16">
        <v>3640</v>
      </c>
      <c r="F16">
        <v>9600000</v>
      </c>
      <c r="G16" s="1" cm="1">
        <f t="array" ref="G16">IF(Manhattan[[#This Row],[SALE_PRICE]]=0,_xlfn._xlws.FILTER($O$2:$O$36,($K$2:$K$36=Manhattan[[#This Row],[ZIP_CODE]])*($L$2:$L$36=Manhattan[[#This Row],[BUILDING_CLASS]]))*Manhattan[[#This Row],[SQUARE_FEET]],Manhattan[[#This Row],[SALE_PRICE]])</f>
        <v>9600000</v>
      </c>
      <c r="K16">
        <v>10035</v>
      </c>
      <c r="L16" t="str">
        <v>A5</v>
      </c>
      <c r="M16">
        <f>AVERAGEIFS(Manhattan[SQUARE_FEET],Manhattan[ZIP_CODE],$K16,Manhattan[BUILDING_CLASS],$L16,Manhattan[SALE_PRICE],"&lt;&gt;0")</f>
        <v>804</v>
      </c>
      <c r="N16">
        <f>AVERAGEIFS(Manhattan[SALE_PRICE],Manhattan[ZIP_CODE],$K16,Manhattan[BUILDING_CLASS],$L16,$F$2:$F$142,"&lt;&gt;0")</f>
        <v>2050000</v>
      </c>
      <c r="O16">
        <f t="shared" si="0"/>
        <v>2549.7512437810947</v>
      </c>
    </row>
    <row r="17" spans="1:15" x14ac:dyDescent="0.45">
      <c r="A17" t="s">
        <v>23</v>
      </c>
      <c r="B17" t="s">
        <v>26</v>
      </c>
      <c r="C17">
        <v>10011</v>
      </c>
      <c r="D17" t="s">
        <v>8</v>
      </c>
      <c r="E17">
        <v>8125</v>
      </c>
      <c r="F17">
        <v>26500000</v>
      </c>
      <c r="G17" s="1" cm="1">
        <f t="array" ref="G17">IF(Manhattan[[#This Row],[SALE_PRICE]]=0,_xlfn._xlws.FILTER($O$2:$O$36,($K$2:$K$36=Manhattan[[#This Row],[ZIP_CODE]])*($L$2:$L$36=Manhattan[[#This Row],[BUILDING_CLASS]]))*Manhattan[[#This Row],[SQUARE_FEET]],Manhattan[[#This Row],[SALE_PRICE]])</f>
        <v>26500000</v>
      </c>
      <c r="K17">
        <v>10463</v>
      </c>
      <c r="L17" t="str">
        <v>A1</v>
      </c>
      <c r="M17">
        <f>AVERAGEIFS(Manhattan[SQUARE_FEET],Manhattan[ZIP_CODE],$K17,Manhattan[BUILDING_CLASS],$L17,Manhattan[SALE_PRICE],"&lt;&gt;0")</f>
        <v>1996</v>
      </c>
      <c r="N17">
        <f>AVERAGEIFS(Manhattan[SALE_PRICE],Manhattan[ZIP_CODE],$K17,Manhattan[BUILDING_CLASS],$L17,$F$2:$F$142,"&lt;&gt;0")</f>
        <v>995000</v>
      </c>
      <c r="O17">
        <f t="shared" si="0"/>
        <v>498.49699398797594</v>
      </c>
    </row>
    <row r="18" spans="1:15" x14ac:dyDescent="0.45">
      <c r="A18" t="s">
        <v>23</v>
      </c>
      <c r="B18" t="s">
        <v>27</v>
      </c>
      <c r="C18">
        <v>10011</v>
      </c>
      <c r="D18" t="s">
        <v>28</v>
      </c>
      <c r="E18">
        <v>3381</v>
      </c>
      <c r="F18">
        <v>18750000</v>
      </c>
      <c r="G18" s="1" cm="1">
        <f t="array" ref="G18">IF(Manhattan[[#This Row],[SALE_PRICE]]=0,_xlfn._xlws.FILTER($O$2:$O$36,($K$2:$K$36=Manhattan[[#This Row],[ZIP_CODE]])*($L$2:$L$36=Manhattan[[#This Row],[BUILDING_CLASS]]))*Manhattan[[#This Row],[SQUARE_FEET]],Manhattan[[#This Row],[SALE_PRICE]])</f>
        <v>18750000</v>
      </c>
      <c r="K18">
        <v>10463</v>
      </c>
      <c r="L18" t="str">
        <v>A5</v>
      </c>
      <c r="M18">
        <f>AVERAGEIFS(Manhattan[SQUARE_FEET],Manhattan[ZIP_CODE],$K18,Manhattan[BUILDING_CLASS],$L18,Manhattan[SALE_PRICE],"&lt;&gt;0")</f>
        <v>1224</v>
      </c>
      <c r="N18">
        <f>AVERAGEIFS(Manhattan[SALE_PRICE],Manhattan[ZIP_CODE],$K18,Manhattan[BUILDING_CLASS],$L18,$F$2:$F$142,"&lt;&gt;0")</f>
        <v>688040</v>
      </c>
      <c r="O18">
        <f t="shared" si="0"/>
        <v>562.12418300653599</v>
      </c>
    </row>
    <row r="19" spans="1:15" x14ac:dyDescent="0.45">
      <c r="A19" t="s">
        <v>23</v>
      </c>
      <c r="B19" t="s">
        <v>29</v>
      </c>
      <c r="C19">
        <v>10011</v>
      </c>
      <c r="D19" t="s">
        <v>15</v>
      </c>
      <c r="E19">
        <v>1284</v>
      </c>
      <c r="F19">
        <v>4660000</v>
      </c>
      <c r="G19" s="1" cm="1">
        <f t="array" ref="G19">IF(Manhattan[[#This Row],[SALE_PRICE]]=0,_xlfn._xlws.FILTER($O$2:$O$36,($K$2:$K$36=Manhattan[[#This Row],[ZIP_CODE]])*($L$2:$L$36=Manhattan[[#This Row],[BUILDING_CLASS]]))*Manhattan[[#This Row],[SQUARE_FEET]],Manhattan[[#This Row],[SALE_PRICE]])</f>
        <v>4660000</v>
      </c>
      <c r="K19">
        <v>10017</v>
      </c>
      <c r="L19" t="str">
        <v>A4</v>
      </c>
      <c r="M19">
        <f>AVERAGEIFS(Manhattan[SQUARE_FEET],Manhattan[ZIP_CODE],$K19,Manhattan[BUILDING_CLASS],$L19,Manhattan[SALE_PRICE],"&lt;&gt;0")</f>
        <v>4560</v>
      </c>
      <c r="N19">
        <f>AVERAGEIFS(Manhattan[SALE_PRICE],Manhattan[ZIP_CODE],$K19,Manhattan[BUILDING_CLASS],$L19,$F$2:$F$142,"&lt;&gt;0")</f>
        <v>6800000</v>
      </c>
      <c r="O19">
        <f t="shared" si="0"/>
        <v>1491.2280701754387</v>
      </c>
    </row>
    <row r="20" spans="1:15" x14ac:dyDescent="0.45">
      <c r="A20" t="s">
        <v>23</v>
      </c>
      <c r="B20" t="s">
        <v>30</v>
      </c>
      <c r="C20">
        <v>10014</v>
      </c>
      <c r="D20" t="s">
        <v>8</v>
      </c>
      <c r="E20">
        <v>3166</v>
      </c>
      <c r="F20">
        <v>9900000</v>
      </c>
      <c r="G20" s="1" cm="1">
        <f t="array" ref="G20">IF(Manhattan[[#This Row],[SALE_PRICE]]=0,_xlfn._xlws.FILTER($O$2:$O$36,($K$2:$K$36=Manhattan[[#This Row],[ZIP_CODE]])*($L$2:$L$36=Manhattan[[#This Row],[BUILDING_CLASS]]))*Manhattan[[#This Row],[SQUARE_FEET]],Manhattan[[#This Row],[SALE_PRICE]])</f>
        <v>9900000</v>
      </c>
      <c r="K20">
        <v>10019</v>
      </c>
      <c r="L20" t="str">
        <v>A4</v>
      </c>
      <c r="M20">
        <f>AVERAGEIFS(Manhattan[SQUARE_FEET],Manhattan[ZIP_CODE],$K20,Manhattan[BUILDING_CLASS],$L20,Manhattan[SALE_PRICE],"&lt;&gt;0")</f>
        <v>7148</v>
      </c>
      <c r="N20">
        <f>AVERAGEIFS(Manhattan[SALE_PRICE],Manhattan[ZIP_CODE],$K20,Manhattan[BUILDING_CLASS],$L20,$F$2:$F$142,"&lt;&gt;0")</f>
        <v>7400000</v>
      </c>
      <c r="O20">
        <f t="shared" si="0"/>
        <v>1035.2546166759932</v>
      </c>
    </row>
    <row r="21" spans="1:15" x14ac:dyDescent="0.45">
      <c r="A21" t="s">
        <v>23</v>
      </c>
      <c r="B21" t="s">
        <v>31</v>
      </c>
      <c r="C21">
        <v>10014</v>
      </c>
      <c r="D21" t="s">
        <v>8</v>
      </c>
      <c r="E21">
        <v>3416</v>
      </c>
      <c r="F21">
        <v>13000000</v>
      </c>
      <c r="G21" s="1" cm="1">
        <f t="array" ref="G21">IF(Manhattan[[#This Row],[SALE_PRICE]]=0,_xlfn._xlws.FILTER($O$2:$O$36,($K$2:$K$36=Manhattan[[#This Row],[ZIP_CODE]])*($L$2:$L$36=Manhattan[[#This Row],[BUILDING_CLASS]]))*Manhattan[[#This Row],[SQUARE_FEET]],Manhattan[[#This Row],[SALE_PRICE]])</f>
        <v>13000000</v>
      </c>
      <c r="K21">
        <v>10016</v>
      </c>
      <c r="L21" t="str">
        <v>A4</v>
      </c>
      <c r="M21">
        <f>AVERAGEIFS(Manhattan[SQUARE_FEET],Manhattan[ZIP_CODE],$K21,Manhattan[BUILDING_CLASS],$L21,Manhattan[SALE_PRICE],"&lt;&gt;0")</f>
        <v>3967.5</v>
      </c>
      <c r="N21">
        <f>AVERAGEIFS(Manhattan[SALE_PRICE],Manhattan[ZIP_CODE],$K21,Manhattan[BUILDING_CLASS],$L21,$F$2:$F$142,"&lt;&gt;0")</f>
        <v>5900000</v>
      </c>
      <c r="O21">
        <f t="shared" si="0"/>
        <v>1487.0825456836799</v>
      </c>
    </row>
    <row r="22" spans="1:15" x14ac:dyDescent="0.45">
      <c r="A22" t="s">
        <v>23</v>
      </c>
      <c r="B22" t="s">
        <v>32</v>
      </c>
      <c r="C22">
        <v>10014</v>
      </c>
      <c r="D22" t="s">
        <v>8</v>
      </c>
      <c r="E22">
        <v>2664</v>
      </c>
      <c r="F22">
        <v>11250000</v>
      </c>
      <c r="G22" s="1" cm="1">
        <f t="array" ref="G22">IF(Manhattan[[#This Row],[SALE_PRICE]]=0,_xlfn._xlws.FILTER($O$2:$O$36,($K$2:$K$36=Manhattan[[#This Row],[ZIP_CODE]])*($L$2:$L$36=Manhattan[[#This Row],[BUILDING_CLASS]]))*Manhattan[[#This Row],[SQUARE_FEET]],Manhattan[[#This Row],[SALE_PRICE]])</f>
        <v>11250000</v>
      </c>
      <c r="K22">
        <v>10021</v>
      </c>
      <c r="L22" t="str">
        <v>A4</v>
      </c>
      <c r="M22">
        <f>AVERAGEIFS(Manhattan[SQUARE_FEET],Manhattan[ZIP_CODE],$K22,Manhattan[BUILDING_CLASS],$L22,Manhattan[SALE_PRICE],"&lt;&gt;0")</f>
        <v>5705.1</v>
      </c>
      <c r="N22">
        <f>AVERAGEIFS(Manhattan[SALE_PRICE],Manhattan[ZIP_CODE],$K22,Manhattan[BUILDING_CLASS],$L22,$F$2:$F$142,"&lt;&gt;0")</f>
        <v>11738950</v>
      </c>
      <c r="O22">
        <f t="shared" si="0"/>
        <v>2057.6238803877231</v>
      </c>
    </row>
    <row r="23" spans="1:15" x14ac:dyDescent="0.45">
      <c r="A23" t="s">
        <v>23</v>
      </c>
      <c r="B23" t="s">
        <v>33</v>
      </c>
      <c r="C23">
        <v>10014</v>
      </c>
      <c r="D23" t="s">
        <v>8</v>
      </c>
      <c r="E23">
        <v>1501</v>
      </c>
      <c r="F23">
        <v>3200000</v>
      </c>
      <c r="G23" s="1" cm="1">
        <f t="array" ref="G23">IF(Manhattan[[#This Row],[SALE_PRICE]]=0,_xlfn._xlws.FILTER($O$2:$O$36,($K$2:$K$36=Manhattan[[#This Row],[ZIP_CODE]])*($L$2:$L$36=Manhattan[[#This Row],[BUILDING_CLASS]]))*Manhattan[[#This Row],[SQUARE_FEET]],Manhattan[[#This Row],[SALE_PRICE]])</f>
        <v>3200000</v>
      </c>
      <c r="K23">
        <v>10021</v>
      </c>
      <c r="L23" t="str">
        <v>A7</v>
      </c>
      <c r="M23">
        <f>AVERAGEIFS(Manhattan[SQUARE_FEET],Manhattan[ZIP_CODE],$K23,Manhattan[BUILDING_CLASS],$L23,Manhattan[SALE_PRICE],"&lt;&gt;0")</f>
        <v>5972.5</v>
      </c>
      <c r="N23">
        <f>AVERAGEIFS(Manhattan[SALE_PRICE],Manhattan[ZIP_CODE],$K23,Manhattan[BUILDING_CLASS],$L23,$F$2:$F$142,"&lt;&gt;0")</f>
        <v>9351198</v>
      </c>
      <c r="O23">
        <f t="shared" si="0"/>
        <v>1565.7091670154878</v>
      </c>
    </row>
    <row r="24" spans="1:15" x14ac:dyDescent="0.45">
      <c r="A24" t="s">
        <v>23</v>
      </c>
      <c r="B24" t="s">
        <v>34</v>
      </c>
      <c r="C24">
        <v>10014</v>
      </c>
      <c r="D24" t="s">
        <v>8</v>
      </c>
      <c r="E24">
        <v>4009</v>
      </c>
      <c r="F24">
        <v>19999000</v>
      </c>
      <c r="G24" s="1" cm="1">
        <f t="array" ref="G24">IF(Manhattan[[#This Row],[SALE_PRICE]]=0,_xlfn._xlws.FILTER($O$2:$O$36,($K$2:$K$36=Manhattan[[#This Row],[ZIP_CODE]])*($L$2:$L$36=Manhattan[[#This Row],[BUILDING_CLASS]]))*Manhattan[[#This Row],[SQUARE_FEET]],Manhattan[[#This Row],[SALE_PRICE]])</f>
        <v>19999000</v>
      </c>
      <c r="K24">
        <v>10028</v>
      </c>
      <c r="L24" t="str">
        <v>A4</v>
      </c>
      <c r="M24">
        <f>AVERAGEIFS(Manhattan[SQUARE_FEET],Manhattan[ZIP_CODE],$K24,Manhattan[BUILDING_CLASS],$L24,Manhattan[SALE_PRICE],"&lt;&gt;0")</f>
        <v>3242.6666666666665</v>
      </c>
      <c r="N24">
        <f>AVERAGEIFS(Manhattan[SALE_PRICE],Manhattan[ZIP_CODE],$K24,Manhattan[BUILDING_CLASS],$L24,$F$2:$F$142,"&lt;&gt;0")</f>
        <v>8066666.666666667</v>
      </c>
      <c r="O24">
        <f t="shared" si="0"/>
        <v>2487.6644736842109</v>
      </c>
    </row>
    <row r="25" spans="1:15" x14ac:dyDescent="0.45">
      <c r="A25" t="s">
        <v>23</v>
      </c>
      <c r="B25" t="s">
        <v>35</v>
      </c>
      <c r="C25">
        <v>10014</v>
      </c>
      <c r="D25" t="s">
        <v>8</v>
      </c>
      <c r="E25">
        <v>5498</v>
      </c>
      <c r="F25">
        <v>0</v>
      </c>
      <c r="G25" s="1" cm="1">
        <f t="array" ref="G25">IF(Manhattan[[#This Row],[SALE_PRICE]]=0,_xlfn._xlws.FILTER($O$2:$O$36,($K$2:$K$36=Manhattan[[#This Row],[ZIP_CODE]])*($L$2:$L$36=Manhattan[[#This Row],[BUILDING_CLASS]]))*Manhattan[[#This Row],[SQUARE_FEET]],Manhattan[[#This Row],[SALE_PRICE]])</f>
        <v>23267980.566619072</v>
      </c>
      <c r="K25">
        <v>10065</v>
      </c>
      <c r="L25" t="str">
        <v>A4</v>
      </c>
      <c r="M25">
        <f>AVERAGEIFS(Manhattan[SQUARE_FEET],Manhattan[ZIP_CODE],$K25,Manhattan[BUILDING_CLASS],$L25,Manhattan[SALE_PRICE],"&lt;&gt;0")</f>
        <v>5646.636363636364</v>
      </c>
      <c r="N25">
        <f>AVERAGEIFS(Manhattan[SALE_PRICE],Manhattan[ZIP_CODE],$K25,Manhattan[BUILDING_CLASS],$L25,$F$2:$F$142,"&lt;&gt;0")</f>
        <v>17140909.09090909</v>
      </c>
      <c r="O25">
        <f t="shared" si="0"/>
        <v>3035.5964129892291</v>
      </c>
    </row>
    <row r="26" spans="1:15" x14ac:dyDescent="0.45">
      <c r="A26" t="s">
        <v>23</v>
      </c>
      <c r="B26" t="s">
        <v>36</v>
      </c>
      <c r="C26">
        <v>10014</v>
      </c>
      <c r="D26" t="s">
        <v>8</v>
      </c>
      <c r="E26">
        <v>4104</v>
      </c>
      <c r="F26">
        <v>17700000</v>
      </c>
      <c r="G26" s="1" cm="1">
        <f t="array" ref="G26">IF(Manhattan[[#This Row],[SALE_PRICE]]=0,_xlfn._xlws.FILTER($O$2:$O$36,($K$2:$K$36=Manhattan[[#This Row],[ZIP_CODE]])*($L$2:$L$36=Manhattan[[#This Row],[BUILDING_CLASS]]))*Manhattan[[#This Row],[SQUARE_FEET]],Manhattan[[#This Row],[SALE_PRICE]])</f>
        <v>17700000</v>
      </c>
      <c r="K26">
        <v>10065</v>
      </c>
      <c r="L26" t="str">
        <v>A7</v>
      </c>
      <c r="M26">
        <f>AVERAGEIFS(Manhattan[SQUARE_FEET],Manhattan[ZIP_CODE],$K26,Manhattan[BUILDING_CLASS],$L26,Manhattan[SALE_PRICE],"&lt;&gt;0")</f>
        <v>12882</v>
      </c>
      <c r="N26">
        <f>AVERAGEIFS(Manhattan[SALE_PRICE],Manhattan[ZIP_CODE],$K26,Manhattan[BUILDING_CLASS],$L26,$F$2:$F$142,"&lt;&gt;0")</f>
        <v>46750000</v>
      </c>
      <c r="O26">
        <f t="shared" si="0"/>
        <v>3629.0948610464216</v>
      </c>
    </row>
    <row r="27" spans="1:15" x14ac:dyDescent="0.45">
      <c r="A27" t="s">
        <v>23</v>
      </c>
      <c r="B27" t="s">
        <v>37</v>
      </c>
      <c r="C27">
        <v>10014</v>
      </c>
      <c r="D27" t="s">
        <v>8</v>
      </c>
      <c r="E27">
        <v>4400</v>
      </c>
      <c r="F27">
        <v>19999900</v>
      </c>
      <c r="G27" s="1" cm="1">
        <f t="array" ref="G27">IF(Manhattan[[#This Row],[SALE_PRICE]]=0,_xlfn._xlws.FILTER($O$2:$O$36,($K$2:$K$36=Manhattan[[#This Row],[ZIP_CODE]])*($L$2:$L$36=Manhattan[[#This Row],[BUILDING_CLASS]]))*Manhattan[[#This Row],[SQUARE_FEET]],Manhattan[[#This Row],[SALE_PRICE]])</f>
        <v>19999900</v>
      </c>
      <c r="K27">
        <v>10075</v>
      </c>
      <c r="L27" t="str">
        <v>A4</v>
      </c>
      <c r="M27">
        <f>AVERAGEIFS(Manhattan[SQUARE_FEET],Manhattan[ZIP_CODE],$K27,Manhattan[BUILDING_CLASS],$L27,Manhattan[SALE_PRICE],"&lt;&gt;0")</f>
        <v>5969.2857142857147</v>
      </c>
      <c r="N27">
        <f>AVERAGEIFS(Manhattan[SALE_PRICE],Manhattan[ZIP_CODE],$K27,Manhattan[BUILDING_CLASS],$L27,$F$2:$F$142,"&lt;&gt;0")</f>
        <v>15900000</v>
      </c>
      <c r="O27">
        <f t="shared" si="0"/>
        <v>2663.6352758166804</v>
      </c>
    </row>
    <row r="28" spans="1:15" x14ac:dyDescent="0.45">
      <c r="A28" t="s">
        <v>23</v>
      </c>
      <c r="B28" t="s">
        <v>38</v>
      </c>
      <c r="C28">
        <v>10014</v>
      </c>
      <c r="D28" t="s">
        <v>8</v>
      </c>
      <c r="E28">
        <v>2520</v>
      </c>
      <c r="F28">
        <v>9600000</v>
      </c>
      <c r="G28" s="1" cm="1">
        <f t="array" ref="G28">IF(Manhattan[[#This Row],[SALE_PRICE]]=0,_xlfn._xlws.FILTER($O$2:$O$36,($K$2:$K$36=Manhattan[[#This Row],[ZIP_CODE]])*($L$2:$L$36=Manhattan[[#This Row],[BUILDING_CLASS]]))*Manhattan[[#This Row],[SQUARE_FEET]],Manhattan[[#This Row],[SALE_PRICE]])</f>
        <v>9600000</v>
      </c>
      <c r="K28">
        <v>10075</v>
      </c>
      <c r="L28" t="str">
        <v>A7</v>
      </c>
      <c r="M28">
        <f>AVERAGEIFS(Manhattan[SQUARE_FEET],Manhattan[ZIP_CODE],$K28,Manhattan[BUILDING_CLASS],$L28,Manhattan[SALE_PRICE],"&lt;&gt;0")</f>
        <v>17676</v>
      </c>
      <c r="N28">
        <f>AVERAGEIFS(Manhattan[SALE_PRICE],Manhattan[ZIP_CODE],$K28,Manhattan[BUILDING_CLASS],$L28,$F$2:$F$142,"&lt;&gt;0")</f>
        <v>38000000</v>
      </c>
      <c r="O28">
        <f t="shared" si="0"/>
        <v>2149.807648789319</v>
      </c>
    </row>
    <row r="29" spans="1:15" x14ac:dyDescent="0.45">
      <c r="A29" t="s">
        <v>23</v>
      </c>
      <c r="B29" t="s">
        <v>39</v>
      </c>
      <c r="C29">
        <v>10014</v>
      </c>
      <c r="D29" t="s">
        <v>8</v>
      </c>
      <c r="E29">
        <v>3984</v>
      </c>
      <c r="F29">
        <v>11500000</v>
      </c>
      <c r="G29" s="1" cm="1">
        <f t="array" ref="G29">IF(Manhattan[[#This Row],[SALE_PRICE]]=0,_xlfn._xlws.FILTER($O$2:$O$36,($K$2:$K$36=Manhattan[[#This Row],[ZIP_CODE]])*($L$2:$L$36=Manhattan[[#This Row],[BUILDING_CLASS]]))*Manhattan[[#This Row],[SQUARE_FEET]],Manhattan[[#This Row],[SALE_PRICE]])</f>
        <v>11500000</v>
      </c>
      <c r="K29">
        <v>10075</v>
      </c>
      <c r="L29" t="str">
        <v>A9</v>
      </c>
      <c r="M29">
        <f>AVERAGEIFS(Manhattan[SQUARE_FEET],Manhattan[ZIP_CODE],$K29,Manhattan[BUILDING_CLASS],$L29,Manhattan[SALE_PRICE],"&lt;&gt;0")</f>
        <v>3440</v>
      </c>
      <c r="N29">
        <f>AVERAGEIFS(Manhattan[SALE_PRICE],Manhattan[ZIP_CODE],$K29,Manhattan[BUILDING_CLASS],$L29,$F$2:$F$142,"&lt;&gt;0")</f>
        <v>12453150</v>
      </c>
      <c r="O29">
        <f t="shared" si="0"/>
        <v>3620.1017441860463</v>
      </c>
    </row>
    <row r="30" spans="1:15" x14ac:dyDescent="0.45">
      <c r="A30" t="s">
        <v>23</v>
      </c>
      <c r="B30" t="s">
        <v>40</v>
      </c>
      <c r="C30">
        <v>10014</v>
      </c>
      <c r="D30" t="s">
        <v>8</v>
      </c>
      <c r="E30">
        <v>3038</v>
      </c>
      <c r="F30">
        <v>8200000</v>
      </c>
      <c r="G30" s="1" cm="1">
        <f t="array" ref="G30">IF(Manhattan[[#This Row],[SALE_PRICE]]=0,_xlfn._xlws.FILTER($O$2:$O$36,($K$2:$K$36=Manhattan[[#This Row],[ZIP_CODE]])*($L$2:$L$36=Manhattan[[#This Row],[BUILDING_CLASS]]))*Manhattan[[#This Row],[SQUARE_FEET]],Manhattan[[#This Row],[SALE_PRICE]])</f>
        <v>8200000</v>
      </c>
      <c r="K30">
        <v>10128</v>
      </c>
      <c r="L30" t="str">
        <v>A4</v>
      </c>
      <c r="M30">
        <f>AVERAGEIFS(Manhattan[SQUARE_FEET],Manhattan[ZIP_CODE],$K30,Manhattan[BUILDING_CLASS],$L30,Manhattan[SALE_PRICE],"&lt;&gt;0")</f>
        <v>4270.75</v>
      </c>
      <c r="N30">
        <f>AVERAGEIFS(Manhattan[SALE_PRICE],Manhattan[ZIP_CODE],$K30,Manhattan[BUILDING_CLASS],$L30,$F$2:$F$142,"&lt;&gt;0")</f>
        <v>9295500</v>
      </c>
      <c r="O30">
        <f t="shared" si="0"/>
        <v>2176.5497863372943</v>
      </c>
    </row>
    <row r="31" spans="1:15" x14ac:dyDescent="0.45">
      <c r="A31" t="s">
        <v>23</v>
      </c>
      <c r="B31" t="s">
        <v>41</v>
      </c>
      <c r="C31">
        <v>10014</v>
      </c>
      <c r="D31" t="s">
        <v>8</v>
      </c>
      <c r="E31">
        <v>2280</v>
      </c>
      <c r="F31">
        <v>6850000</v>
      </c>
      <c r="G31" s="1" cm="1">
        <f t="array" ref="G31">IF(Manhattan[[#This Row],[SALE_PRICE]]=0,_xlfn._xlws.FILTER($O$2:$O$36,($K$2:$K$36=Manhattan[[#This Row],[ZIP_CODE]])*($L$2:$L$36=Manhattan[[#This Row],[BUILDING_CLASS]]))*Manhattan[[#This Row],[SQUARE_FEET]],Manhattan[[#This Row],[SALE_PRICE]])</f>
        <v>6850000</v>
      </c>
      <c r="K31">
        <v>10128</v>
      </c>
      <c r="L31" t="str">
        <v>A9</v>
      </c>
      <c r="M31">
        <f>AVERAGEIFS(Manhattan[SQUARE_FEET],Manhattan[ZIP_CODE],$K31,Manhattan[BUILDING_CLASS],$L31,Manhattan[SALE_PRICE],"&lt;&gt;0")</f>
        <v>3216.6666666666665</v>
      </c>
      <c r="N31">
        <f>AVERAGEIFS(Manhattan[SALE_PRICE],Manhattan[ZIP_CODE],$K31,Manhattan[BUILDING_CLASS],$L31,$F$2:$F$142,"&lt;&gt;0")</f>
        <v>7941666.666666667</v>
      </c>
      <c r="O31">
        <f t="shared" si="0"/>
        <v>2468.9119170984459</v>
      </c>
    </row>
    <row r="32" spans="1:15" x14ac:dyDescent="0.45">
      <c r="A32" t="s">
        <v>23</v>
      </c>
      <c r="B32" t="s">
        <v>42</v>
      </c>
      <c r="C32">
        <v>10014</v>
      </c>
      <c r="D32" t="s">
        <v>8</v>
      </c>
      <c r="E32">
        <v>999</v>
      </c>
      <c r="F32">
        <v>4400000</v>
      </c>
      <c r="G32" s="1" cm="1">
        <f t="array" ref="G32">IF(Manhattan[[#This Row],[SALE_PRICE]]=0,_xlfn._xlws.FILTER($O$2:$O$36,($K$2:$K$36=Manhattan[[#This Row],[ZIP_CODE]])*($L$2:$L$36=Manhattan[[#This Row],[BUILDING_CLASS]]))*Manhattan[[#This Row],[SQUARE_FEET]],Manhattan[[#This Row],[SALE_PRICE]])</f>
        <v>4400000</v>
      </c>
      <c r="K32">
        <v>10023</v>
      </c>
      <c r="L32" t="str">
        <v>A4</v>
      </c>
      <c r="M32">
        <f>AVERAGEIFS(Manhattan[SQUARE_FEET],Manhattan[ZIP_CODE],$K32,Manhattan[BUILDING_CLASS],$L32,Manhattan[SALE_PRICE],"&lt;&gt;0")</f>
        <v>6614.6</v>
      </c>
      <c r="N32">
        <f>AVERAGEIFS(Manhattan[SALE_PRICE],Manhattan[ZIP_CODE],$K32,Manhattan[BUILDING_CLASS],$L32,$F$2:$F$142,"&lt;&gt;0")</f>
        <v>7470000</v>
      </c>
      <c r="O32">
        <f t="shared" si="0"/>
        <v>1129.3199891149879</v>
      </c>
    </row>
    <row r="33" spans="1:15" x14ac:dyDescent="0.45">
      <c r="A33" t="s">
        <v>23</v>
      </c>
      <c r="B33" t="s">
        <v>43</v>
      </c>
      <c r="C33">
        <v>10014</v>
      </c>
      <c r="D33" t="s">
        <v>8</v>
      </c>
      <c r="E33">
        <v>3840</v>
      </c>
      <c r="F33">
        <v>33350000</v>
      </c>
      <c r="G33" s="1" cm="1">
        <f t="array" ref="G33">IF(Manhattan[[#This Row],[SALE_PRICE]]=0,_xlfn._xlws.FILTER($O$2:$O$36,($K$2:$K$36=Manhattan[[#This Row],[ZIP_CODE]])*($L$2:$L$36=Manhattan[[#This Row],[BUILDING_CLASS]]))*Manhattan[[#This Row],[SQUARE_FEET]],Manhattan[[#This Row],[SALE_PRICE]])</f>
        <v>33350000</v>
      </c>
      <c r="K33">
        <v>10023</v>
      </c>
      <c r="L33" t="str">
        <v>A9</v>
      </c>
      <c r="M33">
        <f>AVERAGEIFS(Manhattan[SQUARE_FEET],Manhattan[ZIP_CODE],$K33,Manhattan[BUILDING_CLASS],$L33,Manhattan[SALE_PRICE],"&lt;&gt;0")</f>
        <v>6576</v>
      </c>
      <c r="N33">
        <f>AVERAGEIFS(Manhattan[SALE_PRICE],Manhattan[ZIP_CODE],$K33,Manhattan[BUILDING_CLASS],$L33,$F$2:$F$142,"&lt;&gt;0")</f>
        <v>9800000</v>
      </c>
      <c r="O33">
        <f t="shared" si="0"/>
        <v>1490.2676399026764</v>
      </c>
    </row>
    <row r="34" spans="1:15" x14ac:dyDescent="0.45">
      <c r="A34" t="s">
        <v>23</v>
      </c>
      <c r="B34" t="s">
        <v>44</v>
      </c>
      <c r="C34">
        <v>10014</v>
      </c>
      <c r="D34" t="s">
        <v>15</v>
      </c>
      <c r="E34">
        <v>2256</v>
      </c>
      <c r="F34">
        <v>0</v>
      </c>
      <c r="G34" s="1" cm="1">
        <f t="array" ref="G34">IF(Manhattan[[#This Row],[SALE_PRICE]]=0,_xlfn._xlws.FILTER($O$2:$O$36,($K$2:$K$36=Manhattan[[#This Row],[ZIP_CODE]])*($L$2:$L$36=Manhattan[[#This Row],[BUILDING_CLASS]]))*Manhattan[[#This Row],[SQUARE_FEET]],Manhattan[[#This Row],[SALE_PRICE]])</f>
        <v>7300000</v>
      </c>
      <c r="K34">
        <v>10024</v>
      </c>
      <c r="L34" t="str">
        <v>A4</v>
      </c>
      <c r="M34">
        <f>AVERAGEIFS(Manhattan[SQUARE_FEET],Manhattan[ZIP_CODE],$K34,Manhattan[BUILDING_CLASS],$L34,Manhattan[SALE_PRICE],"&lt;&gt;0")</f>
        <v>4984.5</v>
      </c>
      <c r="N34">
        <f>AVERAGEIFS(Manhattan[SALE_PRICE],Manhattan[ZIP_CODE],$K34,Manhattan[BUILDING_CLASS],$L34,$F$2:$F$142,"&lt;&gt;0")</f>
        <v>10198750</v>
      </c>
      <c r="O34">
        <f t="shared" si="0"/>
        <v>2046.0928879526532</v>
      </c>
    </row>
    <row r="35" spans="1:15" x14ac:dyDescent="0.45">
      <c r="A35" t="s">
        <v>23</v>
      </c>
      <c r="B35" t="s">
        <v>45</v>
      </c>
      <c r="C35">
        <v>10014</v>
      </c>
      <c r="D35" t="s">
        <v>15</v>
      </c>
      <c r="E35">
        <v>2256</v>
      </c>
      <c r="F35">
        <v>7300000</v>
      </c>
      <c r="G35" s="1" cm="1">
        <f t="array" ref="G35">IF(Manhattan[[#This Row],[SALE_PRICE]]=0,_xlfn._xlws.FILTER($O$2:$O$36,($K$2:$K$36=Manhattan[[#This Row],[ZIP_CODE]])*($L$2:$L$36=Manhattan[[#This Row],[BUILDING_CLASS]]))*Manhattan[[#This Row],[SQUARE_FEET]],Manhattan[[#This Row],[SALE_PRICE]])</f>
        <v>7300000</v>
      </c>
      <c r="K35">
        <v>10024</v>
      </c>
      <c r="L35" t="str">
        <v>A5</v>
      </c>
      <c r="M35">
        <f>AVERAGEIFS(Manhattan[SQUARE_FEET],Manhattan[ZIP_CODE],$K35,Manhattan[BUILDING_CLASS],$L35,Manhattan[SALE_PRICE],"&lt;&gt;0")</f>
        <v>4078</v>
      </c>
      <c r="N35">
        <f>AVERAGEIFS(Manhattan[SALE_PRICE],Manhattan[ZIP_CODE],$K35,Manhattan[BUILDING_CLASS],$L35,$F$2:$F$142,"&lt;&gt;0")</f>
        <v>6500000</v>
      </c>
      <c r="O35">
        <f t="shared" si="0"/>
        <v>1593.9185875429132</v>
      </c>
    </row>
    <row r="36" spans="1:15" x14ac:dyDescent="0.45">
      <c r="A36" t="s">
        <v>46</v>
      </c>
      <c r="B36" t="s">
        <v>47</v>
      </c>
      <c r="C36">
        <v>10026</v>
      </c>
      <c r="D36" t="s">
        <v>8</v>
      </c>
      <c r="E36">
        <v>3470</v>
      </c>
      <c r="F36">
        <v>2600000</v>
      </c>
      <c r="G36" s="1" cm="1">
        <f t="array" ref="G36">IF(Manhattan[[#This Row],[SALE_PRICE]]=0,_xlfn._xlws.FILTER($O$2:$O$36,($K$2:$K$36=Manhattan[[#This Row],[ZIP_CODE]])*($L$2:$L$36=Manhattan[[#This Row],[BUILDING_CLASS]]))*Manhattan[[#This Row],[SQUARE_FEET]],Manhattan[[#This Row],[SALE_PRICE]])</f>
        <v>2600000</v>
      </c>
      <c r="K36">
        <v>10032</v>
      </c>
      <c r="L36" t="str">
        <v>A1</v>
      </c>
      <c r="M36">
        <f>AVERAGEIFS(Manhattan[SQUARE_FEET],Manhattan[ZIP_CODE],$K36,Manhattan[BUILDING_CLASS],$L36,Manhattan[SALE_PRICE],"&lt;&gt;0")</f>
        <v>1500</v>
      </c>
      <c r="N36">
        <f>AVERAGEIFS(Manhattan[SALE_PRICE],Manhattan[ZIP_CODE],$K36,Manhattan[BUILDING_CLASS],$L36,$F$2:$F$142,"&lt;&gt;0")</f>
        <v>1540000</v>
      </c>
      <c r="O36">
        <f t="shared" si="0"/>
        <v>1026.6666666666667</v>
      </c>
    </row>
    <row r="37" spans="1:15" x14ac:dyDescent="0.45">
      <c r="A37" t="s">
        <v>46</v>
      </c>
      <c r="B37" t="s">
        <v>48</v>
      </c>
      <c r="C37">
        <v>10026</v>
      </c>
      <c r="D37" t="s">
        <v>8</v>
      </c>
      <c r="E37">
        <v>4480</v>
      </c>
      <c r="F37">
        <v>3830000</v>
      </c>
      <c r="G37" s="1" cm="1">
        <f t="array" ref="G37">IF(Manhattan[[#This Row],[SALE_PRICE]]=0,_xlfn._xlws.FILTER($O$2:$O$36,($K$2:$K$36=Manhattan[[#This Row],[ZIP_CODE]])*($L$2:$L$36=Manhattan[[#This Row],[BUILDING_CLASS]]))*Manhattan[[#This Row],[SQUARE_FEET]],Manhattan[[#This Row],[SALE_PRICE]])</f>
        <v>3830000</v>
      </c>
    </row>
    <row r="38" spans="1:15" x14ac:dyDescent="0.45">
      <c r="A38" t="s">
        <v>46</v>
      </c>
      <c r="B38" t="s">
        <v>49</v>
      </c>
      <c r="C38">
        <v>10027</v>
      </c>
      <c r="D38" t="s">
        <v>8</v>
      </c>
      <c r="E38">
        <v>3060</v>
      </c>
      <c r="F38">
        <v>3130000</v>
      </c>
      <c r="G38" s="1" cm="1">
        <f t="array" ref="G38">IF(Manhattan[[#This Row],[SALE_PRICE]]=0,_xlfn._xlws.FILTER($O$2:$O$36,($K$2:$K$36=Manhattan[[#This Row],[ZIP_CODE]])*($L$2:$L$36=Manhattan[[#This Row],[BUILDING_CLASS]]))*Manhattan[[#This Row],[SQUARE_FEET]],Manhattan[[#This Row],[SALE_PRICE]])</f>
        <v>3130000</v>
      </c>
    </row>
    <row r="39" spans="1:15" x14ac:dyDescent="0.45">
      <c r="A39" t="s">
        <v>46</v>
      </c>
      <c r="B39" t="s">
        <v>50</v>
      </c>
      <c r="C39">
        <v>10027</v>
      </c>
      <c r="D39" t="s">
        <v>28</v>
      </c>
      <c r="E39">
        <v>4788</v>
      </c>
      <c r="F39">
        <v>0</v>
      </c>
      <c r="G39" s="1" cm="1">
        <f t="array" ref="G39">IF(Manhattan[[#This Row],[SALE_PRICE]]=0,_xlfn._xlws.FILTER($O$2:$O$36,($K$2:$K$36=Manhattan[[#This Row],[ZIP_CODE]])*($L$2:$L$36=Manhattan[[#This Row],[BUILDING_CLASS]]))*Manhattan[[#This Row],[SQUARE_FEET]],Manhattan[[#This Row],[SALE_PRICE]])</f>
        <v>3058931.3371192566</v>
      </c>
    </row>
    <row r="40" spans="1:15" x14ac:dyDescent="0.45">
      <c r="A40" t="s">
        <v>46</v>
      </c>
      <c r="B40" t="s">
        <v>50</v>
      </c>
      <c r="C40">
        <v>10027</v>
      </c>
      <c r="D40" t="s">
        <v>28</v>
      </c>
      <c r="E40">
        <v>4788</v>
      </c>
      <c r="F40">
        <v>2500000</v>
      </c>
      <c r="G40" s="1" cm="1">
        <f t="array" ref="G40">IF(Manhattan[[#This Row],[SALE_PRICE]]=0,_xlfn._xlws.FILTER($O$2:$O$36,($K$2:$K$36=Manhattan[[#This Row],[ZIP_CODE]])*($L$2:$L$36=Manhattan[[#This Row],[BUILDING_CLASS]]))*Manhattan[[#This Row],[SQUARE_FEET]],Manhattan[[#This Row],[SALE_PRICE]])</f>
        <v>2500000</v>
      </c>
    </row>
    <row r="41" spans="1:15" x14ac:dyDescent="0.45">
      <c r="A41" t="s">
        <v>46</v>
      </c>
      <c r="B41" t="s">
        <v>51</v>
      </c>
      <c r="C41">
        <v>10027</v>
      </c>
      <c r="D41" t="s">
        <v>28</v>
      </c>
      <c r="E41">
        <v>4800</v>
      </c>
      <c r="F41">
        <v>0</v>
      </c>
      <c r="G41" s="1" cm="1">
        <f t="array" ref="G41">IF(Manhattan[[#This Row],[SALE_PRICE]]=0,_xlfn._xlws.FILTER($O$2:$O$36,($K$2:$K$36=Manhattan[[#This Row],[ZIP_CODE]])*($L$2:$L$36=Manhattan[[#This Row],[BUILDING_CLASS]]))*Manhattan[[#This Row],[SQUARE_FEET]],Manhattan[[#This Row],[SALE_PRICE]])</f>
        <v>3066597.8316985029</v>
      </c>
    </row>
    <row r="42" spans="1:15" x14ac:dyDescent="0.45">
      <c r="A42" t="s">
        <v>46</v>
      </c>
      <c r="B42" t="s">
        <v>52</v>
      </c>
      <c r="C42">
        <v>10027</v>
      </c>
      <c r="D42" t="s">
        <v>28</v>
      </c>
      <c r="E42">
        <v>2960</v>
      </c>
      <c r="F42">
        <v>2450000</v>
      </c>
      <c r="G42" s="1" cm="1">
        <f t="array" ref="G42">IF(Manhattan[[#This Row],[SALE_PRICE]]=0,_xlfn._xlws.FILTER($O$2:$O$36,($K$2:$K$36=Manhattan[[#This Row],[ZIP_CODE]])*($L$2:$L$36=Manhattan[[#This Row],[BUILDING_CLASS]]))*Manhattan[[#This Row],[SQUARE_FEET]],Manhattan[[#This Row],[SALE_PRICE]])</f>
        <v>2450000</v>
      </c>
    </row>
    <row r="43" spans="1:15" x14ac:dyDescent="0.45">
      <c r="A43" t="s">
        <v>46</v>
      </c>
      <c r="B43" t="s">
        <v>53</v>
      </c>
      <c r="C43">
        <v>10027</v>
      </c>
      <c r="D43" t="s">
        <v>15</v>
      </c>
      <c r="E43">
        <v>5120</v>
      </c>
      <c r="F43">
        <v>3135000</v>
      </c>
      <c r="G43" s="1" cm="1">
        <f t="array" ref="G43">IF(Manhattan[[#This Row],[SALE_PRICE]]=0,_xlfn._xlws.FILTER($O$2:$O$36,($K$2:$K$36=Manhattan[[#This Row],[ZIP_CODE]])*($L$2:$L$36=Manhattan[[#This Row],[BUILDING_CLASS]]))*Manhattan[[#This Row],[SQUARE_FEET]],Manhattan[[#This Row],[SALE_PRICE]])</f>
        <v>3135000</v>
      </c>
    </row>
    <row r="44" spans="1:15" x14ac:dyDescent="0.45">
      <c r="A44" t="s">
        <v>46</v>
      </c>
      <c r="B44" t="s">
        <v>54</v>
      </c>
      <c r="C44">
        <v>10027</v>
      </c>
      <c r="D44" t="s">
        <v>15</v>
      </c>
      <c r="E44">
        <v>3335</v>
      </c>
      <c r="F44">
        <v>2950000</v>
      </c>
      <c r="G44" s="1" cm="1">
        <f t="array" ref="G44">IF(Manhattan[[#This Row],[SALE_PRICE]]=0,_xlfn._xlws.FILTER($O$2:$O$36,($K$2:$K$36=Manhattan[[#This Row],[ZIP_CODE]])*($L$2:$L$36=Manhattan[[#This Row],[BUILDING_CLASS]]))*Manhattan[[#This Row],[SQUARE_FEET]],Manhattan[[#This Row],[SALE_PRICE]])</f>
        <v>2950000</v>
      </c>
    </row>
    <row r="45" spans="1:15" x14ac:dyDescent="0.45">
      <c r="A45" t="s">
        <v>46</v>
      </c>
      <c r="B45" t="s">
        <v>55</v>
      </c>
      <c r="C45">
        <v>10027</v>
      </c>
      <c r="D45" t="s">
        <v>15</v>
      </c>
      <c r="E45">
        <v>3600</v>
      </c>
      <c r="F45">
        <v>2100000</v>
      </c>
      <c r="G45" s="1" cm="1">
        <f t="array" ref="G45">IF(Manhattan[[#This Row],[SALE_PRICE]]=0,_xlfn._xlws.FILTER($O$2:$O$36,($K$2:$K$36=Manhattan[[#This Row],[ZIP_CODE]])*($L$2:$L$36=Manhattan[[#This Row],[BUILDING_CLASS]]))*Manhattan[[#This Row],[SQUARE_FEET]],Manhattan[[#This Row],[SALE_PRICE]])</f>
        <v>2100000</v>
      </c>
    </row>
    <row r="46" spans="1:15" x14ac:dyDescent="0.45">
      <c r="A46" t="s">
        <v>46</v>
      </c>
      <c r="B46" t="s">
        <v>56</v>
      </c>
      <c r="C46">
        <v>10030</v>
      </c>
      <c r="D46" t="s">
        <v>8</v>
      </c>
      <c r="E46">
        <v>4480</v>
      </c>
      <c r="F46">
        <v>3150000</v>
      </c>
      <c r="G46" s="1" cm="1">
        <f t="array" ref="G46">IF(Manhattan[[#This Row],[SALE_PRICE]]=0,_xlfn._xlws.FILTER($O$2:$O$36,($K$2:$K$36=Manhattan[[#This Row],[ZIP_CODE]])*($L$2:$L$36=Manhattan[[#This Row],[BUILDING_CLASS]]))*Manhattan[[#This Row],[SQUARE_FEET]],Manhattan[[#This Row],[SALE_PRICE]])</f>
        <v>3150000</v>
      </c>
    </row>
    <row r="47" spans="1:15" x14ac:dyDescent="0.45">
      <c r="A47" t="s">
        <v>46</v>
      </c>
      <c r="B47" t="s">
        <v>57</v>
      </c>
      <c r="C47">
        <v>10030</v>
      </c>
      <c r="D47" t="s">
        <v>28</v>
      </c>
      <c r="E47">
        <v>3952</v>
      </c>
      <c r="F47">
        <v>0</v>
      </c>
      <c r="G47" s="1" cm="1">
        <f t="array" ref="G47">IF(Manhattan[[#This Row],[SALE_PRICE]]=0,_xlfn._xlws.FILTER($O$2:$O$36,($K$2:$K$36=Manhattan[[#This Row],[ZIP_CODE]])*($L$2:$L$36=Manhattan[[#This Row],[BUILDING_CLASS]]))*Manhattan[[#This Row],[SQUARE_FEET]],Manhattan[[#This Row],[SALE_PRICE]])</f>
        <v>2662017.2230742006</v>
      </c>
    </row>
    <row r="48" spans="1:15" x14ac:dyDescent="0.45">
      <c r="A48" t="s">
        <v>46</v>
      </c>
      <c r="B48" t="s">
        <v>58</v>
      </c>
      <c r="C48">
        <v>10030</v>
      </c>
      <c r="D48" t="s">
        <v>28</v>
      </c>
      <c r="E48">
        <v>4733</v>
      </c>
      <c r="F48">
        <v>3210000</v>
      </c>
      <c r="G48" s="1" cm="1">
        <f t="array" ref="G48">IF(Manhattan[[#This Row],[SALE_PRICE]]=0,_xlfn._xlws.FILTER($O$2:$O$36,($K$2:$K$36=Manhattan[[#This Row],[ZIP_CODE]])*($L$2:$L$36=Manhattan[[#This Row],[BUILDING_CLASS]]))*Manhattan[[#This Row],[SQUARE_FEET]],Manhattan[[#This Row],[SALE_PRICE]])</f>
        <v>3210000</v>
      </c>
    </row>
    <row r="49" spans="1:7" x14ac:dyDescent="0.45">
      <c r="A49" t="s">
        <v>46</v>
      </c>
      <c r="B49" t="s">
        <v>59</v>
      </c>
      <c r="C49">
        <v>10030</v>
      </c>
      <c r="D49" t="s">
        <v>28</v>
      </c>
      <c r="E49">
        <v>3744</v>
      </c>
      <c r="F49">
        <v>2500000</v>
      </c>
      <c r="G49" s="1" cm="1">
        <f t="array" ref="G49">IF(Manhattan[[#This Row],[SALE_PRICE]]=0,_xlfn._xlws.FILTER($O$2:$O$36,($K$2:$K$36=Manhattan[[#This Row],[ZIP_CODE]])*($L$2:$L$36=Manhattan[[#This Row],[BUILDING_CLASS]]))*Manhattan[[#This Row],[SQUARE_FEET]],Manhattan[[#This Row],[SALE_PRICE]])</f>
        <v>2500000</v>
      </c>
    </row>
    <row r="50" spans="1:7" x14ac:dyDescent="0.45">
      <c r="A50" t="s">
        <v>46</v>
      </c>
      <c r="B50" t="s">
        <v>60</v>
      </c>
      <c r="C50">
        <v>10030</v>
      </c>
      <c r="D50" t="s">
        <v>28</v>
      </c>
      <c r="E50">
        <v>2964</v>
      </c>
      <c r="F50">
        <v>0</v>
      </c>
      <c r="G50" s="1" cm="1">
        <f t="array" ref="G50">IF(Manhattan[[#This Row],[SALE_PRICE]]=0,_xlfn._xlws.FILTER($O$2:$O$36,($K$2:$K$36=Manhattan[[#This Row],[ZIP_CODE]])*($L$2:$L$36=Manhattan[[#This Row],[BUILDING_CLASS]]))*Manhattan[[#This Row],[SQUARE_FEET]],Manhattan[[#This Row],[SALE_PRICE]])</f>
        <v>1996512.9173056504</v>
      </c>
    </row>
    <row r="51" spans="1:7" x14ac:dyDescent="0.45">
      <c r="A51" t="s">
        <v>46</v>
      </c>
      <c r="B51" t="s">
        <v>61</v>
      </c>
      <c r="C51">
        <v>10031</v>
      </c>
      <c r="D51" t="s">
        <v>8</v>
      </c>
      <c r="E51">
        <v>3400</v>
      </c>
      <c r="F51">
        <v>2825000</v>
      </c>
      <c r="G51" s="1" cm="1">
        <f t="array" ref="G51">IF(Manhattan[[#This Row],[SALE_PRICE]]=0,_xlfn._xlws.FILTER($O$2:$O$36,($K$2:$K$36=Manhattan[[#This Row],[ZIP_CODE]])*($L$2:$L$36=Manhattan[[#This Row],[BUILDING_CLASS]]))*Manhattan[[#This Row],[SQUARE_FEET]],Manhattan[[#This Row],[SALE_PRICE]])</f>
        <v>2825000</v>
      </c>
    </row>
    <row r="52" spans="1:7" x14ac:dyDescent="0.45">
      <c r="A52" t="s">
        <v>46</v>
      </c>
      <c r="B52" t="s">
        <v>62</v>
      </c>
      <c r="C52">
        <v>10031</v>
      </c>
      <c r="D52" t="s">
        <v>15</v>
      </c>
      <c r="E52">
        <v>6264</v>
      </c>
      <c r="F52">
        <v>2600000</v>
      </c>
      <c r="G52" s="1" cm="1">
        <f t="array" ref="G52">IF(Manhattan[[#This Row],[SALE_PRICE]]=0,_xlfn._xlws.FILTER($O$2:$O$36,($K$2:$K$36=Manhattan[[#This Row],[ZIP_CODE]])*($L$2:$L$36=Manhattan[[#This Row],[BUILDING_CLASS]]))*Manhattan[[#This Row],[SQUARE_FEET]],Manhattan[[#This Row],[SALE_PRICE]])</f>
        <v>2600000</v>
      </c>
    </row>
    <row r="53" spans="1:7" x14ac:dyDescent="0.45">
      <c r="A53" t="s">
        <v>46</v>
      </c>
      <c r="B53" t="s">
        <v>63</v>
      </c>
      <c r="C53">
        <v>10031</v>
      </c>
      <c r="D53" t="s">
        <v>15</v>
      </c>
      <c r="E53">
        <v>3952</v>
      </c>
      <c r="F53">
        <v>2500000</v>
      </c>
      <c r="G53" s="1" cm="1">
        <f t="array" ref="G53">IF(Manhattan[[#This Row],[SALE_PRICE]]=0,_xlfn._xlws.FILTER($O$2:$O$36,($K$2:$K$36=Manhattan[[#This Row],[ZIP_CODE]])*($L$2:$L$36=Manhattan[[#This Row],[BUILDING_CLASS]]))*Manhattan[[#This Row],[SQUARE_FEET]],Manhattan[[#This Row],[SALE_PRICE]])</f>
        <v>2500000</v>
      </c>
    </row>
    <row r="54" spans="1:7" x14ac:dyDescent="0.45">
      <c r="A54" t="s">
        <v>46</v>
      </c>
      <c r="B54" t="s">
        <v>64</v>
      </c>
      <c r="C54">
        <v>10035</v>
      </c>
      <c r="D54" t="s">
        <v>28</v>
      </c>
      <c r="E54">
        <v>804</v>
      </c>
      <c r="F54">
        <v>2050000</v>
      </c>
      <c r="G54" s="1" cm="1">
        <f t="array" ref="G54">IF(Manhattan[[#This Row],[SALE_PRICE]]=0,_xlfn._xlws.FILTER($O$2:$O$36,($K$2:$K$36=Manhattan[[#This Row],[ZIP_CODE]])*($L$2:$L$36=Manhattan[[#This Row],[BUILDING_CLASS]]))*Manhattan[[#This Row],[SQUARE_FEET]],Manhattan[[#This Row],[SALE_PRICE]])</f>
        <v>2050000</v>
      </c>
    </row>
    <row r="55" spans="1:7" x14ac:dyDescent="0.45">
      <c r="A55" t="s">
        <v>65</v>
      </c>
      <c r="B55" t="s">
        <v>66</v>
      </c>
      <c r="C55">
        <v>10463</v>
      </c>
      <c r="D55" t="s">
        <v>67</v>
      </c>
      <c r="E55">
        <v>2094</v>
      </c>
      <c r="F55">
        <v>0</v>
      </c>
      <c r="G55" s="1" cm="1">
        <f t="array" ref="G55">IF(Manhattan[[#This Row],[SALE_PRICE]]=0,_xlfn._xlws.FILTER($O$2:$O$36,($K$2:$K$36=Manhattan[[#This Row],[ZIP_CODE]])*($L$2:$L$36=Manhattan[[#This Row],[BUILDING_CLASS]]))*Manhattan[[#This Row],[SQUARE_FEET]],Manhattan[[#This Row],[SALE_PRICE]])</f>
        <v>1043852.7054108216</v>
      </c>
    </row>
    <row r="56" spans="1:7" x14ac:dyDescent="0.45">
      <c r="A56" t="s">
        <v>65</v>
      </c>
      <c r="B56" t="s">
        <v>68</v>
      </c>
      <c r="C56">
        <v>10463</v>
      </c>
      <c r="D56" t="s">
        <v>67</v>
      </c>
      <c r="E56">
        <v>1856</v>
      </c>
      <c r="F56">
        <v>0</v>
      </c>
      <c r="G56" s="1" cm="1">
        <f t="array" ref="G56">IF(Manhattan[[#This Row],[SALE_PRICE]]=0,_xlfn._xlws.FILTER($O$2:$O$36,($K$2:$K$36=Manhattan[[#This Row],[ZIP_CODE]])*($L$2:$L$36=Manhattan[[#This Row],[BUILDING_CLASS]]))*Manhattan[[#This Row],[SQUARE_FEET]],Manhattan[[#This Row],[SALE_PRICE]])</f>
        <v>925210.4208416834</v>
      </c>
    </row>
    <row r="57" spans="1:7" x14ac:dyDescent="0.45">
      <c r="A57" t="s">
        <v>65</v>
      </c>
      <c r="B57" t="s">
        <v>69</v>
      </c>
      <c r="C57">
        <v>10463</v>
      </c>
      <c r="D57" t="s">
        <v>67</v>
      </c>
      <c r="E57">
        <v>1996</v>
      </c>
      <c r="F57">
        <v>995000</v>
      </c>
      <c r="G57" s="1" cm="1">
        <f t="array" ref="G57">IF(Manhattan[[#This Row],[SALE_PRICE]]=0,_xlfn._xlws.FILTER($O$2:$O$36,($K$2:$K$36=Manhattan[[#This Row],[ZIP_CODE]])*($L$2:$L$36=Manhattan[[#This Row],[BUILDING_CLASS]]))*Manhattan[[#This Row],[SQUARE_FEET]],Manhattan[[#This Row],[SALE_PRICE]])</f>
        <v>995000</v>
      </c>
    </row>
    <row r="58" spans="1:7" x14ac:dyDescent="0.45">
      <c r="A58" t="s">
        <v>65</v>
      </c>
      <c r="B58" t="s">
        <v>70</v>
      </c>
      <c r="C58">
        <v>10463</v>
      </c>
      <c r="D58" t="s">
        <v>28</v>
      </c>
      <c r="E58">
        <v>1224</v>
      </c>
      <c r="F58">
        <v>688040</v>
      </c>
      <c r="G58" s="1" cm="1">
        <f t="array" ref="G58">IF(Manhattan[[#This Row],[SALE_PRICE]]=0,_xlfn._xlws.FILTER($O$2:$O$36,($K$2:$K$36=Manhattan[[#This Row],[ZIP_CODE]])*($L$2:$L$36=Manhattan[[#This Row],[BUILDING_CLASS]]))*Manhattan[[#This Row],[SQUARE_FEET]],Manhattan[[#This Row],[SALE_PRICE]])</f>
        <v>688040</v>
      </c>
    </row>
    <row r="59" spans="1:7" x14ac:dyDescent="0.45">
      <c r="A59" t="s">
        <v>71</v>
      </c>
      <c r="B59" t="s">
        <v>72</v>
      </c>
      <c r="C59">
        <v>10017</v>
      </c>
      <c r="D59" t="s">
        <v>8</v>
      </c>
      <c r="E59">
        <v>4560</v>
      </c>
      <c r="F59">
        <v>6800000</v>
      </c>
      <c r="G59" s="1" cm="1">
        <f t="array" ref="G59">IF(Manhattan[[#This Row],[SALE_PRICE]]=0,_xlfn._xlws.FILTER($O$2:$O$36,($K$2:$K$36=Manhattan[[#This Row],[ZIP_CODE]])*($L$2:$L$36=Manhattan[[#This Row],[BUILDING_CLASS]]))*Manhattan[[#This Row],[SQUARE_FEET]],Manhattan[[#This Row],[SALE_PRICE]])</f>
        <v>6800000</v>
      </c>
    </row>
    <row r="60" spans="1:7" x14ac:dyDescent="0.45">
      <c r="A60" t="s">
        <v>71</v>
      </c>
      <c r="B60" t="s">
        <v>73</v>
      </c>
      <c r="C60">
        <v>10019</v>
      </c>
      <c r="D60" t="s">
        <v>8</v>
      </c>
      <c r="E60">
        <v>7148</v>
      </c>
      <c r="F60">
        <v>7400000</v>
      </c>
      <c r="G60" s="1" cm="1">
        <f t="array" ref="G60">IF(Manhattan[[#This Row],[SALE_PRICE]]=0,_xlfn._xlws.FILTER($O$2:$O$36,($K$2:$K$36=Manhattan[[#This Row],[ZIP_CODE]])*($L$2:$L$36=Manhattan[[#This Row],[BUILDING_CLASS]]))*Manhattan[[#This Row],[SQUARE_FEET]],Manhattan[[#This Row],[SALE_PRICE]])</f>
        <v>7400000</v>
      </c>
    </row>
    <row r="61" spans="1:7" x14ac:dyDescent="0.45">
      <c r="A61" t="s">
        <v>74</v>
      </c>
      <c r="B61" t="s">
        <v>75</v>
      </c>
      <c r="C61">
        <v>10016</v>
      </c>
      <c r="D61" t="s">
        <v>8</v>
      </c>
      <c r="E61">
        <v>3800</v>
      </c>
      <c r="F61">
        <v>0</v>
      </c>
      <c r="G61" s="1" cm="1">
        <f t="array" ref="G61">IF(Manhattan[[#This Row],[SALE_PRICE]]=0,_xlfn._xlws.FILTER($O$2:$O$36,($K$2:$K$36=Manhattan[[#This Row],[ZIP_CODE]])*($L$2:$L$36=Manhattan[[#This Row],[BUILDING_CLASS]]))*Manhattan[[#This Row],[SQUARE_FEET]],Manhattan[[#This Row],[SALE_PRICE]])</f>
        <v>5650913.673597984</v>
      </c>
    </row>
    <row r="62" spans="1:7" x14ac:dyDescent="0.45">
      <c r="A62" t="s">
        <v>74</v>
      </c>
      <c r="B62" t="s">
        <v>76</v>
      </c>
      <c r="C62">
        <v>10016</v>
      </c>
      <c r="D62" t="s">
        <v>8</v>
      </c>
      <c r="E62">
        <v>2223</v>
      </c>
      <c r="F62">
        <v>5300000</v>
      </c>
      <c r="G62" s="1" cm="1">
        <f t="array" ref="G62">IF(Manhattan[[#This Row],[SALE_PRICE]]=0,_xlfn._xlws.FILTER($O$2:$O$36,($K$2:$K$36=Manhattan[[#This Row],[ZIP_CODE]])*($L$2:$L$36=Manhattan[[#This Row],[BUILDING_CLASS]]))*Manhattan[[#This Row],[SQUARE_FEET]],Manhattan[[#This Row],[SALE_PRICE]])</f>
        <v>5300000</v>
      </c>
    </row>
    <row r="63" spans="1:7" x14ac:dyDescent="0.45">
      <c r="A63" t="s">
        <v>74</v>
      </c>
      <c r="B63" t="s">
        <v>77</v>
      </c>
      <c r="C63">
        <v>10016</v>
      </c>
      <c r="D63" t="s">
        <v>8</v>
      </c>
      <c r="E63">
        <v>5712</v>
      </c>
      <c r="F63">
        <v>6500000</v>
      </c>
      <c r="G63" s="1" cm="1">
        <f t="array" ref="G63">IF(Manhattan[[#This Row],[SALE_PRICE]]=0,_xlfn._xlws.FILTER($O$2:$O$36,($K$2:$K$36=Manhattan[[#This Row],[ZIP_CODE]])*($L$2:$L$36=Manhattan[[#This Row],[BUILDING_CLASS]]))*Manhattan[[#This Row],[SQUARE_FEET]],Manhattan[[#This Row],[SALE_PRICE]])</f>
        <v>6500000</v>
      </c>
    </row>
    <row r="64" spans="1:7" x14ac:dyDescent="0.45">
      <c r="A64" t="s">
        <v>78</v>
      </c>
      <c r="B64" t="s">
        <v>79</v>
      </c>
      <c r="C64">
        <v>10021</v>
      </c>
      <c r="D64" t="s">
        <v>8</v>
      </c>
      <c r="E64">
        <v>2880</v>
      </c>
      <c r="F64">
        <v>0</v>
      </c>
      <c r="G64" s="1" cm="1">
        <f t="array" ref="G64">IF(Manhattan[[#This Row],[SALE_PRICE]]=0,_xlfn._xlws.FILTER($O$2:$O$36,($K$2:$K$36=Manhattan[[#This Row],[ZIP_CODE]])*($L$2:$L$36=Manhattan[[#This Row],[BUILDING_CLASS]]))*Manhattan[[#This Row],[SQUARE_FEET]],Manhattan[[#This Row],[SALE_PRICE]])</f>
        <v>5925956.7755166423</v>
      </c>
    </row>
    <row r="65" spans="1:7" x14ac:dyDescent="0.45">
      <c r="A65" t="s">
        <v>78</v>
      </c>
      <c r="B65" t="s">
        <v>80</v>
      </c>
      <c r="C65">
        <v>10021</v>
      </c>
      <c r="D65" t="s">
        <v>8</v>
      </c>
      <c r="E65">
        <v>2700</v>
      </c>
      <c r="F65">
        <v>0</v>
      </c>
      <c r="G65" s="1" cm="1">
        <f t="array" ref="G65">IF(Manhattan[[#This Row],[SALE_PRICE]]=0,_xlfn._xlws.FILTER($O$2:$O$36,($K$2:$K$36=Manhattan[[#This Row],[ZIP_CODE]])*($L$2:$L$36=Manhattan[[#This Row],[BUILDING_CLASS]]))*Manhattan[[#This Row],[SQUARE_FEET]],Manhattan[[#This Row],[SALE_PRICE]])</f>
        <v>5555584.4770468529</v>
      </c>
    </row>
    <row r="66" spans="1:7" x14ac:dyDescent="0.45">
      <c r="A66" t="s">
        <v>78</v>
      </c>
      <c r="B66" t="s">
        <v>80</v>
      </c>
      <c r="C66">
        <v>10021</v>
      </c>
      <c r="D66" t="s">
        <v>8</v>
      </c>
      <c r="E66">
        <v>2700</v>
      </c>
      <c r="F66">
        <v>0</v>
      </c>
      <c r="G66" s="1" cm="1">
        <f t="array" ref="G66">IF(Manhattan[[#This Row],[SALE_PRICE]]=0,_xlfn._xlws.FILTER($O$2:$O$36,($K$2:$K$36=Manhattan[[#This Row],[ZIP_CODE]])*($L$2:$L$36=Manhattan[[#This Row],[BUILDING_CLASS]]))*Manhattan[[#This Row],[SQUARE_FEET]],Manhattan[[#This Row],[SALE_PRICE]])</f>
        <v>5555584.4770468529</v>
      </c>
    </row>
    <row r="67" spans="1:7" x14ac:dyDescent="0.45">
      <c r="A67" t="s">
        <v>78</v>
      </c>
      <c r="B67" t="s">
        <v>81</v>
      </c>
      <c r="C67">
        <v>10021</v>
      </c>
      <c r="D67" t="s">
        <v>8</v>
      </c>
      <c r="E67">
        <v>5600</v>
      </c>
      <c r="F67">
        <v>0</v>
      </c>
      <c r="G67" s="1" cm="1">
        <f t="array" ref="G67">IF(Manhattan[[#This Row],[SALE_PRICE]]=0,_xlfn._xlws.FILTER($O$2:$O$36,($K$2:$K$36=Manhattan[[#This Row],[ZIP_CODE]])*($L$2:$L$36=Manhattan[[#This Row],[BUILDING_CLASS]]))*Manhattan[[#This Row],[SQUARE_FEET]],Manhattan[[#This Row],[SALE_PRICE]])</f>
        <v>11522693.73017125</v>
      </c>
    </row>
    <row r="68" spans="1:7" x14ac:dyDescent="0.45">
      <c r="A68" t="s">
        <v>78</v>
      </c>
      <c r="B68" t="s">
        <v>82</v>
      </c>
      <c r="C68">
        <v>10021</v>
      </c>
      <c r="D68" t="s">
        <v>8</v>
      </c>
      <c r="E68">
        <v>2880</v>
      </c>
      <c r="F68">
        <v>4295000</v>
      </c>
      <c r="G68" s="1" cm="1">
        <f t="array" ref="G68">IF(Manhattan[[#This Row],[SALE_PRICE]]=0,_xlfn._xlws.FILTER($O$2:$O$36,($K$2:$K$36=Manhattan[[#This Row],[ZIP_CODE]])*($L$2:$L$36=Manhattan[[#This Row],[BUILDING_CLASS]]))*Manhattan[[#This Row],[SQUARE_FEET]],Manhattan[[#This Row],[SALE_PRICE]])</f>
        <v>4295000</v>
      </c>
    </row>
    <row r="69" spans="1:7" x14ac:dyDescent="0.45">
      <c r="A69" t="s">
        <v>78</v>
      </c>
      <c r="B69" t="s">
        <v>83</v>
      </c>
      <c r="C69">
        <v>10021</v>
      </c>
      <c r="D69" t="s">
        <v>8</v>
      </c>
      <c r="E69">
        <v>4900</v>
      </c>
      <c r="F69">
        <v>11000000</v>
      </c>
      <c r="G69" s="1" cm="1">
        <f t="array" ref="G69">IF(Manhattan[[#This Row],[SALE_PRICE]]=0,_xlfn._xlws.FILTER($O$2:$O$36,($K$2:$K$36=Manhattan[[#This Row],[ZIP_CODE]])*($L$2:$L$36=Manhattan[[#This Row],[BUILDING_CLASS]]))*Manhattan[[#This Row],[SQUARE_FEET]],Manhattan[[#This Row],[SALE_PRICE]])</f>
        <v>11000000</v>
      </c>
    </row>
    <row r="70" spans="1:7" x14ac:dyDescent="0.45">
      <c r="A70" t="s">
        <v>78</v>
      </c>
      <c r="B70" t="s">
        <v>84</v>
      </c>
      <c r="C70">
        <v>10021</v>
      </c>
      <c r="D70" t="s">
        <v>8</v>
      </c>
      <c r="E70">
        <v>6480</v>
      </c>
      <c r="F70">
        <v>8675000</v>
      </c>
      <c r="G70" s="1" cm="1">
        <f t="array" ref="G70">IF(Manhattan[[#This Row],[SALE_PRICE]]=0,_xlfn._xlws.FILTER($O$2:$O$36,($K$2:$K$36=Manhattan[[#This Row],[ZIP_CODE]])*($L$2:$L$36=Manhattan[[#This Row],[BUILDING_CLASS]]))*Manhattan[[#This Row],[SQUARE_FEET]],Manhattan[[#This Row],[SALE_PRICE]])</f>
        <v>8675000</v>
      </c>
    </row>
    <row r="71" spans="1:7" x14ac:dyDescent="0.45">
      <c r="A71" t="s">
        <v>78</v>
      </c>
      <c r="B71" t="s">
        <v>85</v>
      </c>
      <c r="C71">
        <v>10021</v>
      </c>
      <c r="D71" t="s">
        <v>8</v>
      </c>
      <c r="E71">
        <v>5034</v>
      </c>
      <c r="F71">
        <v>6800000</v>
      </c>
      <c r="G71" s="1" cm="1">
        <f t="array" ref="G71">IF(Manhattan[[#This Row],[SALE_PRICE]]=0,_xlfn._xlws.FILTER($O$2:$O$36,($K$2:$K$36=Manhattan[[#This Row],[ZIP_CODE]])*($L$2:$L$36=Manhattan[[#This Row],[BUILDING_CLASS]]))*Manhattan[[#This Row],[SQUARE_FEET]],Manhattan[[#This Row],[SALE_PRICE]])</f>
        <v>6800000</v>
      </c>
    </row>
    <row r="72" spans="1:7" x14ac:dyDescent="0.45">
      <c r="A72" t="s">
        <v>78</v>
      </c>
      <c r="B72" t="s">
        <v>80</v>
      </c>
      <c r="C72">
        <v>10021</v>
      </c>
      <c r="D72" t="s">
        <v>8</v>
      </c>
      <c r="E72">
        <v>2853</v>
      </c>
      <c r="F72">
        <v>5800000</v>
      </c>
      <c r="G72" s="1" cm="1">
        <f t="array" ref="G72">IF(Manhattan[[#This Row],[SALE_PRICE]]=0,_xlfn._xlws.FILTER($O$2:$O$36,($K$2:$K$36=Manhattan[[#This Row],[ZIP_CODE]])*($L$2:$L$36=Manhattan[[#This Row],[BUILDING_CLASS]]))*Manhattan[[#This Row],[SQUARE_FEET]],Manhattan[[#This Row],[SALE_PRICE]])</f>
        <v>5800000</v>
      </c>
    </row>
    <row r="73" spans="1:7" x14ac:dyDescent="0.45">
      <c r="A73" t="s">
        <v>78</v>
      </c>
      <c r="B73" t="s">
        <v>86</v>
      </c>
      <c r="C73">
        <v>10021</v>
      </c>
      <c r="D73" t="s">
        <v>8</v>
      </c>
      <c r="E73">
        <v>5789</v>
      </c>
      <c r="F73">
        <v>0</v>
      </c>
      <c r="G73" s="1" cm="1">
        <f t="array" ref="G73">IF(Manhattan[[#This Row],[SALE_PRICE]]=0,_xlfn._xlws.FILTER($O$2:$O$36,($K$2:$K$36=Manhattan[[#This Row],[ZIP_CODE]])*($L$2:$L$36=Manhattan[[#This Row],[BUILDING_CLASS]]))*Manhattan[[#This Row],[SQUARE_FEET]],Manhattan[[#This Row],[SALE_PRICE]])</f>
        <v>11911584.64356453</v>
      </c>
    </row>
    <row r="74" spans="1:7" x14ac:dyDescent="0.45">
      <c r="A74" t="s">
        <v>78</v>
      </c>
      <c r="B74" t="s">
        <v>87</v>
      </c>
      <c r="C74">
        <v>10021</v>
      </c>
      <c r="D74" t="s">
        <v>8</v>
      </c>
      <c r="E74">
        <v>5561</v>
      </c>
      <c r="F74">
        <v>12112500</v>
      </c>
      <c r="G74" s="1" cm="1">
        <f t="array" ref="G74">IF(Manhattan[[#This Row],[SALE_PRICE]]=0,_xlfn._xlws.FILTER($O$2:$O$36,($K$2:$K$36=Manhattan[[#This Row],[ZIP_CODE]])*($L$2:$L$36=Manhattan[[#This Row],[BUILDING_CLASS]]))*Manhattan[[#This Row],[SQUARE_FEET]],Manhattan[[#This Row],[SALE_PRICE]])</f>
        <v>12112500</v>
      </c>
    </row>
    <row r="75" spans="1:7" x14ac:dyDescent="0.45">
      <c r="A75" t="s">
        <v>78</v>
      </c>
      <c r="B75" t="s">
        <v>88</v>
      </c>
      <c r="C75">
        <v>10021</v>
      </c>
      <c r="D75" t="s">
        <v>8</v>
      </c>
      <c r="E75">
        <v>7978</v>
      </c>
      <c r="F75">
        <v>26250000</v>
      </c>
      <c r="G75" s="1" cm="1">
        <f t="array" ref="G75">IF(Manhattan[[#This Row],[SALE_PRICE]]=0,_xlfn._xlws.FILTER($O$2:$O$36,($K$2:$K$36=Manhattan[[#This Row],[ZIP_CODE]])*($L$2:$L$36=Manhattan[[#This Row],[BUILDING_CLASS]]))*Manhattan[[#This Row],[SQUARE_FEET]],Manhattan[[#This Row],[SALE_PRICE]])</f>
        <v>26250000</v>
      </c>
    </row>
    <row r="76" spans="1:7" x14ac:dyDescent="0.45">
      <c r="A76" t="s">
        <v>78</v>
      </c>
      <c r="B76" t="s">
        <v>89</v>
      </c>
      <c r="C76">
        <v>10021</v>
      </c>
      <c r="D76" t="s">
        <v>8</v>
      </c>
      <c r="E76">
        <v>12060</v>
      </c>
      <c r="F76">
        <v>28000000</v>
      </c>
      <c r="G76" s="1" cm="1">
        <f t="array" ref="G76">IF(Manhattan[[#This Row],[SALE_PRICE]]=0,_xlfn._xlws.FILTER($O$2:$O$36,($K$2:$K$36=Manhattan[[#This Row],[ZIP_CODE]])*($L$2:$L$36=Manhattan[[#This Row],[BUILDING_CLASS]]))*Manhattan[[#This Row],[SQUARE_FEET]],Manhattan[[#This Row],[SALE_PRICE]])</f>
        <v>28000000</v>
      </c>
    </row>
    <row r="77" spans="1:7" x14ac:dyDescent="0.45">
      <c r="A77" t="s">
        <v>78</v>
      </c>
      <c r="B77" t="s">
        <v>90</v>
      </c>
      <c r="C77">
        <v>10021</v>
      </c>
      <c r="D77" t="s">
        <v>8</v>
      </c>
      <c r="E77">
        <v>3392</v>
      </c>
      <c r="F77">
        <v>4557000</v>
      </c>
      <c r="G77" s="1" cm="1">
        <f t="array" ref="G77">IF(Manhattan[[#This Row],[SALE_PRICE]]=0,_xlfn._xlws.FILTER($O$2:$O$36,($K$2:$K$36=Manhattan[[#This Row],[ZIP_CODE]])*($L$2:$L$36=Manhattan[[#This Row],[BUILDING_CLASS]]))*Manhattan[[#This Row],[SQUARE_FEET]],Manhattan[[#This Row],[SALE_PRICE]])</f>
        <v>4557000</v>
      </c>
    </row>
    <row r="78" spans="1:7" x14ac:dyDescent="0.45">
      <c r="A78" t="s">
        <v>78</v>
      </c>
      <c r="B78" t="s">
        <v>91</v>
      </c>
      <c r="C78">
        <v>10021</v>
      </c>
      <c r="D78" t="s">
        <v>8</v>
      </c>
      <c r="E78">
        <v>5913</v>
      </c>
      <c r="F78">
        <v>9900000</v>
      </c>
      <c r="G78" s="1" cm="1">
        <f t="array" ref="G78">IF(Manhattan[[#This Row],[SALE_PRICE]]=0,_xlfn._xlws.FILTER($O$2:$O$36,($K$2:$K$36=Manhattan[[#This Row],[ZIP_CODE]])*($L$2:$L$36=Manhattan[[#This Row],[BUILDING_CLASS]]))*Manhattan[[#This Row],[SQUARE_FEET]],Manhattan[[#This Row],[SALE_PRICE]])</f>
        <v>9900000</v>
      </c>
    </row>
    <row r="79" spans="1:7" x14ac:dyDescent="0.45">
      <c r="A79" t="s">
        <v>78</v>
      </c>
      <c r="B79" t="s">
        <v>92</v>
      </c>
      <c r="C79">
        <v>10021</v>
      </c>
      <c r="D79" t="s">
        <v>93</v>
      </c>
      <c r="E79">
        <v>7420</v>
      </c>
      <c r="F79">
        <v>10202396</v>
      </c>
      <c r="G79" s="1" cm="1">
        <f t="array" ref="G79">IF(Manhattan[[#This Row],[SALE_PRICE]]=0,_xlfn._xlws.FILTER($O$2:$O$36,($K$2:$K$36=Manhattan[[#This Row],[ZIP_CODE]])*($L$2:$L$36=Manhattan[[#This Row],[BUILDING_CLASS]]))*Manhattan[[#This Row],[SQUARE_FEET]],Manhattan[[#This Row],[SALE_PRICE]])</f>
        <v>10202396</v>
      </c>
    </row>
    <row r="80" spans="1:7" x14ac:dyDescent="0.45">
      <c r="A80" t="s">
        <v>78</v>
      </c>
      <c r="B80" t="s">
        <v>94</v>
      </c>
      <c r="C80">
        <v>10021</v>
      </c>
      <c r="D80" t="s">
        <v>93</v>
      </c>
      <c r="E80">
        <v>4525</v>
      </c>
      <c r="F80">
        <v>8500000</v>
      </c>
      <c r="G80" s="1" cm="1">
        <f t="array" ref="G80">IF(Manhattan[[#This Row],[SALE_PRICE]]=0,_xlfn._xlws.FILTER($O$2:$O$36,($K$2:$K$36=Manhattan[[#This Row],[ZIP_CODE]])*($L$2:$L$36=Manhattan[[#This Row],[BUILDING_CLASS]]))*Manhattan[[#This Row],[SQUARE_FEET]],Manhattan[[#This Row],[SALE_PRICE]])</f>
        <v>8500000</v>
      </c>
    </row>
    <row r="81" spans="1:7" x14ac:dyDescent="0.45">
      <c r="A81" t="s">
        <v>78</v>
      </c>
      <c r="B81" t="s">
        <v>95</v>
      </c>
      <c r="C81">
        <v>10028</v>
      </c>
      <c r="D81" t="s">
        <v>8</v>
      </c>
      <c r="E81">
        <v>2261</v>
      </c>
      <c r="F81">
        <v>6550000</v>
      </c>
      <c r="G81" s="1" cm="1">
        <f t="array" ref="G81">IF(Manhattan[[#This Row],[SALE_PRICE]]=0,_xlfn._xlws.FILTER($O$2:$O$36,($K$2:$K$36=Manhattan[[#This Row],[ZIP_CODE]])*($L$2:$L$36=Manhattan[[#This Row],[BUILDING_CLASS]]))*Manhattan[[#This Row],[SQUARE_FEET]],Manhattan[[#This Row],[SALE_PRICE]])</f>
        <v>6550000</v>
      </c>
    </row>
    <row r="82" spans="1:7" x14ac:dyDescent="0.45">
      <c r="A82" t="s">
        <v>78</v>
      </c>
      <c r="B82" t="s">
        <v>96</v>
      </c>
      <c r="C82">
        <v>10028</v>
      </c>
      <c r="D82" t="s">
        <v>8</v>
      </c>
      <c r="E82">
        <v>2940</v>
      </c>
      <c r="F82">
        <v>6800000</v>
      </c>
      <c r="G82" s="1" cm="1">
        <f t="array" ref="G82">IF(Manhattan[[#This Row],[SALE_PRICE]]=0,_xlfn._xlws.FILTER($O$2:$O$36,($K$2:$K$36=Manhattan[[#This Row],[ZIP_CODE]])*($L$2:$L$36=Manhattan[[#This Row],[BUILDING_CLASS]]))*Manhattan[[#This Row],[SQUARE_FEET]],Manhattan[[#This Row],[SALE_PRICE]])</f>
        <v>6800000</v>
      </c>
    </row>
    <row r="83" spans="1:7" x14ac:dyDescent="0.45">
      <c r="A83" t="s">
        <v>78</v>
      </c>
      <c r="B83" t="s">
        <v>97</v>
      </c>
      <c r="C83">
        <v>10028</v>
      </c>
      <c r="D83" t="s">
        <v>8</v>
      </c>
      <c r="E83">
        <v>3420</v>
      </c>
      <c r="F83">
        <v>0</v>
      </c>
      <c r="G83" s="1" cm="1">
        <f t="array" ref="G83">IF(Manhattan[[#This Row],[SALE_PRICE]]=0,_xlfn._xlws.FILTER($O$2:$O$36,($K$2:$K$36=Manhattan[[#This Row],[ZIP_CODE]])*($L$2:$L$36=Manhattan[[#This Row],[BUILDING_CLASS]]))*Manhattan[[#This Row],[SQUARE_FEET]],Manhattan[[#This Row],[SALE_PRICE]])</f>
        <v>8507812.5000000019</v>
      </c>
    </row>
    <row r="84" spans="1:7" x14ac:dyDescent="0.45">
      <c r="A84" t="s">
        <v>78</v>
      </c>
      <c r="B84" t="s">
        <v>98</v>
      </c>
      <c r="C84">
        <v>10028</v>
      </c>
      <c r="D84" t="s">
        <v>8</v>
      </c>
      <c r="E84">
        <v>3015</v>
      </c>
      <c r="F84">
        <v>5200000</v>
      </c>
      <c r="G84" s="1" cm="1">
        <f t="array" ref="G84">IF(Manhattan[[#This Row],[SALE_PRICE]]=0,_xlfn._xlws.FILTER($O$2:$O$36,($K$2:$K$36=Manhattan[[#This Row],[ZIP_CODE]])*($L$2:$L$36=Manhattan[[#This Row],[BUILDING_CLASS]]))*Manhattan[[#This Row],[SQUARE_FEET]],Manhattan[[#This Row],[SALE_PRICE]])</f>
        <v>5200000</v>
      </c>
    </row>
    <row r="85" spans="1:7" x14ac:dyDescent="0.45">
      <c r="A85" t="s">
        <v>78</v>
      </c>
      <c r="B85" t="s">
        <v>99</v>
      </c>
      <c r="C85">
        <v>10028</v>
      </c>
      <c r="D85" t="s">
        <v>8</v>
      </c>
      <c r="E85">
        <v>6200</v>
      </c>
      <c r="F85">
        <v>16750000</v>
      </c>
      <c r="G85" s="1" cm="1">
        <f t="array" ref="G85">IF(Manhattan[[#This Row],[SALE_PRICE]]=0,_xlfn._xlws.FILTER($O$2:$O$36,($K$2:$K$36=Manhattan[[#This Row],[ZIP_CODE]])*($L$2:$L$36=Manhattan[[#This Row],[BUILDING_CLASS]]))*Manhattan[[#This Row],[SQUARE_FEET]],Manhattan[[#This Row],[SALE_PRICE]])</f>
        <v>16750000</v>
      </c>
    </row>
    <row r="86" spans="1:7" x14ac:dyDescent="0.45">
      <c r="A86" t="s">
        <v>78</v>
      </c>
      <c r="B86" t="s">
        <v>100</v>
      </c>
      <c r="C86">
        <v>10028</v>
      </c>
      <c r="D86" t="s">
        <v>8</v>
      </c>
      <c r="E86">
        <v>2520</v>
      </c>
      <c r="F86">
        <v>7100000</v>
      </c>
      <c r="G86" s="1" cm="1">
        <f t="array" ref="G86">IF(Manhattan[[#This Row],[SALE_PRICE]]=0,_xlfn._xlws.FILTER($O$2:$O$36,($K$2:$K$36=Manhattan[[#This Row],[ZIP_CODE]])*($L$2:$L$36=Manhattan[[#This Row],[BUILDING_CLASS]]))*Manhattan[[#This Row],[SQUARE_FEET]],Manhattan[[#This Row],[SALE_PRICE]])</f>
        <v>7100000</v>
      </c>
    </row>
    <row r="87" spans="1:7" x14ac:dyDescent="0.45">
      <c r="A87" t="s">
        <v>78</v>
      </c>
      <c r="B87" t="s">
        <v>101</v>
      </c>
      <c r="C87">
        <v>10028</v>
      </c>
      <c r="D87" t="s">
        <v>8</v>
      </c>
      <c r="E87">
        <v>2520</v>
      </c>
      <c r="F87">
        <v>6000000</v>
      </c>
      <c r="G87" s="1" cm="1">
        <f t="array" ref="G87">IF(Manhattan[[#This Row],[SALE_PRICE]]=0,_xlfn._xlws.FILTER($O$2:$O$36,($K$2:$K$36=Manhattan[[#This Row],[ZIP_CODE]])*($L$2:$L$36=Manhattan[[#This Row],[BUILDING_CLASS]]))*Manhattan[[#This Row],[SQUARE_FEET]],Manhattan[[#This Row],[SALE_PRICE]])</f>
        <v>6000000</v>
      </c>
    </row>
    <row r="88" spans="1:7" x14ac:dyDescent="0.45">
      <c r="A88" t="s">
        <v>78</v>
      </c>
      <c r="B88" t="s">
        <v>102</v>
      </c>
      <c r="C88">
        <v>10065</v>
      </c>
      <c r="D88" t="s">
        <v>8</v>
      </c>
      <c r="E88">
        <v>2640</v>
      </c>
      <c r="F88">
        <v>8000000</v>
      </c>
      <c r="G88" s="1" cm="1">
        <f t="array" ref="G88">IF(Manhattan[[#This Row],[SALE_PRICE]]=0,_xlfn._xlws.FILTER($O$2:$O$36,($K$2:$K$36=Manhattan[[#This Row],[ZIP_CODE]])*($L$2:$L$36=Manhattan[[#This Row],[BUILDING_CLASS]]))*Manhattan[[#This Row],[SQUARE_FEET]],Manhattan[[#This Row],[SALE_PRICE]])</f>
        <v>8000000</v>
      </c>
    </row>
    <row r="89" spans="1:7" x14ac:dyDescent="0.45">
      <c r="A89" t="s">
        <v>78</v>
      </c>
      <c r="B89" t="s">
        <v>103</v>
      </c>
      <c r="C89">
        <v>10065</v>
      </c>
      <c r="D89" t="s">
        <v>8</v>
      </c>
      <c r="E89">
        <v>7918</v>
      </c>
      <c r="F89">
        <v>0</v>
      </c>
      <c r="G89" s="1" cm="1">
        <f t="array" ref="G89">IF(Manhattan[[#This Row],[SALE_PRICE]]=0,_xlfn._xlws.FILTER($O$2:$O$36,($K$2:$K$36=Manhattan[[#This Row],[ZIP_CODE]])*($L$2:$L$36=Manhattan[[#This Row],[BUILDING_CLASS]]))*Manhattan[[#This Row],[SQUARE_FEET]],Manhattan[[#This Row],[SALE_PRICE]])</f>
        <v>24035852.398048718</v>
      </c>
    </row>
    <row r="90" spans="1:7" x14ac:dyDescent="0.45">
      <c r="A90" t="s">
        <v>78</v>
      </c>
      <c r="B90" t="s">
        <v>104</v>
      </c>
      <c r="C90">
        <v>10065</v>
      </c>
      <c r="D90" t="s">
        <v>8</v>
      </c>
      <c r="E90">
        <v>4104</v>
      </c>
      <c r="F90">
        <v>8000000</v>
      </c>
      <c r="G90" s="1" cm="1">
        <f t="array" ref="G90">IF(Manhattan[[#This Row],[SALE_PRICE]]=0,_xlfn._xlws.FILTER($O$2:$O$36,($K$2:$K$36=Manhattan[[#This Row],[ZIP_CODE]])*($L$2:$L$36=Manhattan[[#This Row],[BUILDING_CLASS]]))*Manhattan[[#This Row],[SQUARE_FEET]],Manhattan[[#This Row],[SALE_PRICE]])</f>
        <v>8000000</v>
      </c>
    </row>
    <row r="91" spans="1:7" x14ac:dyDescent="0.45">
      <c r="A91" t="s">
        <v>78</v>
      </c>
      <c r="B91" t="s">
        <v>105</v>
      </c>
      <c r="C91">
        <v>10065</v>
      </c>
      <c r="D91" t="s">
        <v>8</v>
      </c>
      <c r="E91">
        <v>4420</v>
      </c>
      <c r="F91">
        <v>8750000</v>
      </c>
      <c r="G91" s="1" cm="1">
        <f t="array" ref="G91">IF(Manhattan[[#This Row],[SALE_PRICE]]=0,_xlfn._xlws.FILTER($O$2:$O$36,($K$2:$K$36=Manhattan[[#This Row],[ZIP_CODE]])*($L$2:$L$36=Manhattan[[#This Row],[BUILDING_CLASS]]))*Manhattan[[#This Row],[SQUARE_FEET]],Manhattan[[#This Row],[SALE_PRICE]])</f>
        <v>8750000</v>
      </c>
    </row>
    <row r="92" spans="1:7" x14ac:dyDescent="0.45">
      <c r="A92" t="s">
        <v>78</v>
      </c>
      <c r="B92" t="s">
        <v>106</v>
      </c>
      <c r="C92">
        <v>10065</v>
      </c>
      <c r="D92" t="s">
        <v>8</v>
      </c>
      <c r="E92">
        <v>3629</v>
      </c>
      <c r="F92">
        <v>9750000</v>
      </c>
      <c r="G92" s="1" cm="1">
        <f t="array" ref="G92">IF(Manhattan[[#This Row],[SALE_PRICE]]=0,_xlfn._xlws.FILTER($O$2:$O$36,($K$2:$K$36=Manhattan[[#This Row],[ZIP_CODE]])*($L$2:$L$36=Manhattan[[#This Row],[BUILDING_CLASS]]))*Manhattan[[#This Row],[SQUARE_FEET]],Manhattan[[#This Row],[SALE_PRICE]])</f>
        <v>9750000</v>
      </c>
    </row>
    <row r="93" spans="1:7" x14ac:dyDescent="0.45">
      <c r="A93" t="s">
        <v>78</v>
      </c>
      <c r="B93" t="s">
        <v>107</v>
      </c>
      <c r="C93">
        <v>10065</v>
      </c>
      <c r="D93" t="s">
        <v>8</v>
      </c>
      <c r="E93">
        <v>5225</v>
      </c>
      <c r="F93">
        <v>11000000</v>
      </c>
      <c r="G93" s="1" cm="1">
        <f t="array" ref="G93">IF(Manhattan[[#This Row],[SALE_PRICE]]=0,_xlfn._xlws.FILTER($O$2:$O$36,($K$2:$K$36=Manhattan[[#This Row],[ZIP_CODE]])*($L$2:$L$36=Manhattan[[#This Row],[BUILDING_CLASS]]))*Manhattan[[#This Row],[SQUARE_FEET]],Manhattan[[#This Row],[SALE_PRICE]])</f>
        <v>11000000</v>
      </c>
    </row>
    <row r="94" spans="1:7" x14ac:dyDescent="0.45">
      <c r="A94" t="s">
        <v>78</v>
      </c>
      <c r="B94" t="s">
        <v>108</v>
      </c>
      <c r="C94">
        <v>10065</v>
      </c>
      <c r="D94" t="s">
        <v>8</v>
      </c>
      <c r="E94">
        <v>6324</v>
      </c>
      <c r="F94">
        <v>21000000</v>
      </c>
      <c r="G94" s="1" cm="1">
        <f t="array" ref="G94">IF(Manhattan[[#This Row],[SALE_PRICE]]=0,_xlfn._xlws.FILTER($O$2:$O$36,($K$2:$K$36=Manhattan[[#This Row],[ZIP_CODE]])*($L$2:$L$36=Manhattan[[#This Row],[BUILDING_CLASS]]))*Manhattan[[#This Row],[SQUARE_FEET]],Manhattan[[#This Row],[SALE_PRICE]])</f>
        <v>21000000</v>
      </c>
    </row>
    <row r="95" spans="1:7" x14ac:dyDescent="0.45">
      <c r="A95" t="s">
        <v>78</v>
      </c>
      <c r="B95" t="s">
        <v>109</v>
      </c>
      <c r="C95">
        <v>10065</v>
      </c>
      <c r="D95" t="s">
        <v>8</v>
      </c>
      <c r="E95">
        <v>3628</v>
      </c>
      <c r="F95">
        <v>0</v>
      </c>
      <c r="G95" s="1" cm="1">
        <f t="array" ref="G95">IF(Manhattan[[#This Row],[SALE_PRICE]]=0,_xlfn._xlws.FILTER($O$2:$O$36,($K$2:$K$36=Manhattan[[#This Row],[ZIP_CODE]])*($L$2:$L$36=Manhattan[[#This Row],[BUILDING_CLASS]]))*Manhattan[[#This Row],[SQUARE_FEET]],Manhattan[[#This Row],[SALE_PRICE]])</f>
        <v>11013143.786324924</v>
      </c>
    </row>
    <row r="96" spans="1:7" x14ac:dyDescent="0.45">
      <c r="A96" t="s">
        <v>78</v>
      </c>
      <c r="B96" t="s">
        <v>110</v>
      </c>
      <c r="C96">
        <v>10065</v>
      </c>
      <c r="D96" t="s">
        <v>8</v>
      </c>
      <c r="E96">
        <v>9168</v>
      </c>
      <c r="F96">
        <v>36000000</v>
      </c>
      <c r="G96" s="1" cm="1">
        <f t="array" ref="G96">IF(Manhattan[[#This Row],[SALE_PRICE]]=0,_xlfn._xlws.FILTER($O$2:$O$36,($K$2:$K$36=Manhattan[[#This Row],[ZIP_CODE]])*($L$2:$L$36=Manhattan[[#This Row],[BUILDING_CLASS]]))*Manhattan[[#This Row],[SQUARE_FEET]],Manhattan[[#This Row],[SALE_PRICE]])</f>
        <v>36000000</v>
      </c>
    </row>
    <row r="97" spans="1:7" x14ac:dyDescent="0.45">
      <c r="A97" t="s">
        <v>78</v>
      </c>
      <c r="B97" t="s">
        <v>111</v>
      </c>
      <c r="C97">
        <v>10065</v>
      </c>
      <c r="D97" t="s">
        <v>8</v>
      </c>
      <c r="E97">
        <v>3600</v>
      </c>
      <c r="F97">
        <v>6350000</v>
      </c>
      <c r="G97" s="1" cm="1">
        <f t="array" ref="G97">IF(Manhattan[[#This Row],[SALE_PRICE]]=0,_xlfn._xlws.FILTER($O$2:$O$36,($K$2:$K$36=Manhattan[[#This Row],[ZIP_CODE]])*($L$2:$L$36=Manhattan[[#This Row],[BUILDING_CLASS]]))*Manhattan[[#This Row],[SQUARE_FEET]],Manhattan[[#This Row],[SALE_PRICE]])</f>
        <v>6350000</v>
      </c>
    </row>
    <row r="98" spans="1:7" x14ac:dyDescent="0.45">
      <c r="A98" t="s">
        <v>78</v>
      </c>
      <c r="B98" t="s">
        <v>112</v>
      </c>
      <c r="C98">
        <v>10065</v>
      </c>
      <c r="D98" t="s">
        <v>8</v>
      </c>
      <c r="E98">
        <v>3376</v>
      </c>
      <c r="F98">
        <v>10700000</v>
      </c>
      <c r="G98" s="1" cm="1">
        <f t="array" ref="G98">IF(Manhattan[[#This Row],[SALE_PRICE]]=0,_xlfn._xlws.FILTER($O$2:$O$36,($K$2:$K$36=Manhattan[[#This Row],[ZIP_CODE]])*($L$2:$L$36=Manhattan[[#This Row],[BUILDING_CLASS]]))*Manhattan[[#This Row],[SQUARE_FEET]],Manhattan[[#This Row],[SALE_PRICE]])</f>
        <v>10700000</v>
      </c>
    </row>
    <row r="99" spans="1:7" x14ac:dyDescent="0.45">
      <c r="A99" t="s">
        <v>78</v>
      </c>
      <c r="B99" t="s">
        <v>113</v>
      </c>
      <c r="C99">
        <v>10065</v>
      </c>
      <c r="D99" t="s">
        <v>8</v>
      </c>
      <c r="E99">
        <v>7280</v>
      </c>
      <c r="F99">
        <v>14000000</v>
      </c>
      <c r="G99" s="1" cm="1">
        <f t="array" ref="G99">IF(Manhattan[[#This Row],[SALE_PRICE]]=0,_xlfn._xlws.FILTER($O$2:$O$36,($K$2:$K$36=Manhattan[[#This Row],[ZIP_CODE]])*($L$2:$L$36=Manhattan[[#This Row],[BUILDING_CLASS]]))*Manhattan[[#This Row],[SQUARE_FEET]],Manhattan[[#This Row],[SALE_PRICE]])</f>
        <v>14000000</v>
      </c>
    </row>
    <row r="100" spans="1:7" x14ac:dyDescent="0.45">
      <c r="A100" t="s">
        <v>78</v>
      </c>
      <c r="B100" t="s">
        <v>114</v>
      </c>
      <c r="C100">
        <v>10065</v>
      </c>
      <c r="D100" t="s">
        <v>8</v>
      </c>
      <c r="E100">
        <v>12347</v>
      </c>
      <c r="F100">
        <v>55000000</v>
      </c>
      <c r="G100" s="1" cm="1">
        <f t="array" ref="G100">IF(Manhattan[[#This Row],[SALE_PRICE]]=0,_xlfn._xlws.FILTER($O$2:$O$36,($K$2:$K$36=Manhattan[[#This Row],[ZIP_CODE]])*($L$2:$L$36=Manhattan[[#This Row],[BUILDING_CLASS]]))*Manhattan[[#This Row],[SQUARE_FEET]],Manhattan[[#This Row],[SALE_PRICE]])</f>
        <v>55000000</v>
      </c>
    </row>
    <row r="101" spans="1:7" x14ac:dyDescent="0.45">
      <c r="A101" t="s">
        <v>78</v>
      </c>
      <c r="B101" t="s">
        <v>115</v>
      </c>
      <c r="C101">
        <v>10065</v>
      </c>
      <c r="D101" t="s">
        <v>93</v>
      </c>
      <c r="E101">
        <v>12882</v>
      </c>
      <c r="F101">
        <v>46750000</v>
      </c>
      <c r="G101" s="1" cm="1">
        <f t="array" ref="G101">IF(Manhattan[[#This Row],[SALE_PRICE]]=0,_xlfn._xlws.FILTER($O$2:$O$36,($K$2:$K$36=Manhattan[[#This Row],[ZIP_CODE]])*($L$2:$L$36=Manhattan[[#This Row],[BUILDING_CLASS]]))*Manhattan[[#This Row],[SQUARE_FEET]],Manhattan[[#This Row],[SALE_PRICE]])</f>
        <v>46750000</v>
      </c>
    </row>
    <row r="102" spans="1:7" x14ac:dyDescent="0.45">
      <c r="A102" t="s">
        <v>78</v>
      </c>
      <c r="B102" t="s">
        <v>116</v>
      </c>
      <c r="C102">
        <v>10075</v>
      </c>
      <c r="D102" t="s">
        <v>8</v>
      </c>
      <c r="E102">
        <v>13300</v>
      </c>
      <c r="F102">
        <v>46000000</v>
      </c>
      <c r="G102" s="1" cm="1">
        <f t="array" ref="G102">IF(Manhattan[[#This Row],[SALE_PRICE]]=0,_xlfn._xlws.FILTER($O$2:$O$36,($K$2:$K$36=Manhattan[[#This Row],[ZIP_CODE]])*($L$2:$L$36=Manhattan[[#This Row],[BUILDING_CLASS]]))*Manhattan[[#This Row],[SQUARE_FEET]],Manhattan[[#This Row],[SALE_PRICE]])</f>
        <v>46000000</v>
      </c>
    </row>
    <row r="103" spans="1:7" x14ac:dyDescent="0.45">
      <c r="A103" t="s">
        <v>78</v>
      </c>
      <c r="B103" t="s">
        <v>117</v>
      </c>
      <c r="C103">
        <v>10075</v>
      </c>
      <c r="D103" t="s">
        <v>8</v>
      </c>
      <c r="E103">
        <v>3400</v>
      </c>
      <c r="F103">
        <v>7000000</v>
      </c>
      <c r="G103" s="1" cm="1">
        <f t="array" ref="G103">IF(Manhattan[[#This Row],[SALE_PRICE]]=0,_xlfn._xlws.FILTER($O$2:$O$36,($K$2:$K$36=Manhattan[[#This Row],[ZIP_CODE]])*($L$2:$L$36=Manhattan[[#This Row],[BUILDING_CLASS]]))*Manhattan[[#This Row],[SQUARE_FEET]],Manhattan[[#This Row],[SALE_PRICE]])</f>
        <v>7000000</v>
      </c>
    </row>
    <row r="104" spans="1:7" x14ac:dyDescent="0.45">
      <c r="A104" t="s">
        <v>78</v>
      </c>
      <c r="B104" t="s">
        <v>118</v>
      </c>
      <c r="C104">
        <v>10075</v>
      </c>
      <c r="D104" t="s">
        <v>8</v>
      </c>
      <c r="E104">
        <v>5670</v>
      </c>
      <c r="F104">
        <v>12700000</v>
      </c>
      <c r="G104" s="1" cm="1">
        <f t="array" ref="G104">IF(Manhattan[[#This Row],[SALE_PRICE]]=0,_xlfn._xlws.FILTER($O$2:$O$36,($K$2:$K$36=Manhattan[[#This Row],[ZIP_CODE]])*($L$2:$L$36=Manhattan[[#This Row],[BUILDING_CLASS]]))*Manhattan[[#This Row],[SQUARE_FEET]],Manhattan[[#This Row],[SALE_PRICE]])</f>
        <v>12700000</v>
      </c>
    </row>
    <row r="105" spans="1:7" x14ac:dyDescent="0.45">
      <c r="A105" t="s">
        <v>78</v>
      </c>
      <c r="B105" t="s">
        <v>119</v>
      </c>
      <c r="C105">
        <v>10075</v>
      </c>
      <c r="D105" t="s">
        <v>8</v>
      </c>
      <c r="E105">
        <v>3750</v>
      </c>
      <c r="F105">
        <v>6500000</v>
      </c>
      <c r="G105" s="1" cm="1">
        <f t="array" ref="G105">IF(Manhattan[[#This Row],[SALE_PRICE]]=0,_xlfn._xlws.FILTER($O$2:$O$36,($K$2:$K$36=Manhattan[[#This Row],[ZIP_CODE]])*($L$2:$L$36=Manhattan[[#This Row],[BUILDING_CLASS]]))*Manhattan[[#This Row],[SQUARE_FEET]],Manhattan[[#This Row],[SALE_PRICE]])</f>
        <v>6500000</v>
      </c>
    </row>
    <row r="106" spans="1:7" x14ac:dyDescent="0.45">
      <c r="A106" t="s">
        <v>78</v>
      </c>
      <c r="B106" t="s">
        <v>120</v>
      </c>
      <c r="C106">
        <v>10075</v>
      </c>
      <c r="D106" t="s">
        <v>8</v>
      </c>
      <c r="E106">
        <v>5760</v>
      </c>
      <c r="F106">
        <v>10500000</v>
      </c>
      <c r="G106" s="1" cm="1">
        <f t="array" ref="G106">IF(Manhattan[[#This Row],[SALE_PRICE]]=0,_xlfn._xlws.FILTER($O$2:$O$36,($K$2:$K$36=Manhattan[[#This Row],[ZIP_CODE]])*($L$2:$L$36=Manhattan[[#This Row],[BUILDING_CLASS]]))*Manhattan[[#This Row],[SQUARE_FEET]],Manhattan[[#This Row],[SALE_PRICE]])</f>
        <v>10500000</v>
      </c>
    </row>
    <row r="107" spans="1:7" x14ac:dyDescent="0.45">
      <c r="A107" t="s">
        <v>78</v>
      </c>
      <c r="B107" t="s">
        <v>121</v>
      </c>
      <c r="C107">
        <v>10075</v>
      </c>
      <c r="D107" t="s">
        <v>8</v>
      </c>
      <c r="E107">
        <v>3305</v>
      </c>
      <c r="F107">
        <v>10450000</v>
      </c>
      <c r="G107" s="1" cm="1">
        <f t="array" ref="G107">IF(Manhattan[[#This Row],[SALE_PRICE]]=0,_xlfn._xlws.FILTER($O$2:$O$36,($K$2:$K$36=Manhattan[[#This Row],[ZIP_CODE]])*($L$2:$L$36=Manhattan[[#This Row],[BUILDING_CLASS]]))*Manhattan[[#This Row],[SQUARE_FEET]],Manhattan[[#This Row],[SALE_PRICE]])</f>
        <v>10450000</v>
      </c>
    </row>
    <row r="108" spans="1:7" x14ac:dyDescent="0.45">
      <c r="A108" t="s">
        <v>78</v>
      </c>
      <c r="B108" t="s">
        <v>122</v>
      </c>
      <c r="C108">
        <v>10075</v>
      </c>
      <c r="D108" t="s">
        <v>8</v>
      </c>
      <c r="E108">
        <v>6600</v>
      </c>
      <c r="F108">
        <v>18150000</v>
      </c>
      <c r="G108" s="1" cm="1">
        <f t="array" ref="G108">IF(Manhattan[[#This Row],[SALE_PRICE]]=0,_xlfn._xlws.FILTER($O$2:$O$36,($K$2:$K$36=Manhattan[[#This Row],[ZIP_CODE]])*($L$2:$L$36=Manhattan[[#This Row],[BUILDING_CLASS]]))*Manhattan[[#This Row],[SQUARE_FEET]],Manhattan[[#This Row],[SALE_PRICE]])</f>
        <v>18150000</v>
      </c>
    </row>
    <row r="109" spans="1:7" x14ac:dyDescent="0.45">
      <c r="A109" t="s">
        <v>78</v>
      </c>
      <c r="B109" t="s">
        <v>123</v>
      </c>
      <c r="C109">
        <v>10075</v>
      </c>
      <c r="D109" t="s">
        <v>93</v>
      </c>
      <c r="E109">
        <v>17676</v>
      </c>
      <c r="F109">
        <v>38000000</v>
      </c>
      <c r="G109" s="1" cm="1">
        <f t="array" ref="G109">IF(Manhattan[[#This Row],[SALE_PRICE]]=0,_xlfn._xlws.FILTER($O$2:$O$36,($K$2:$K$36=Manhattan[[#This Row],[ZIP_CODE]])*($L$2:$L$36=Manhattan[[#This Row],[BUILDING_CLASS]]))*Manhattan[[#This Row],[SQUARE_FEET]],Manhattan[[#This Row],[SALE_PRICE]])</f>
        <v>38000000</v>
      </c>
    </row>
    <row r="110" spans="1:7" x14ac:dyDescent="0.45">
      <c r="A110" t="s">
        <v>78</v>
      </c>
      <c r="B110" t="s">
        <v>124</v>
      </c>
      <c r="C110">
        <v>10075</v>
      </c>
      <c r="D110" t="s">
        <v>15</v>
      </c>
      <c r="E110">
        <v>3440</v>
      </c>
      <c r="F110">
        <v>12453150</v>
      </c>
      <c r="G110" s="1" cm="1">
        <f t="array" ref="G110">IF(Manhattan[[#This Row],[SALE_PRICE]]=0,_xlfn._xlws.FILTER($O$2:$O$36,($K$2:$K$36=Manhattan[[#This Row],[ZIP_CODE]])*($L$2:$L$36=Manhattan[[#This Row],[BUILDING_CLASS]]))*Manhattan[[#This Row],[SQUARE_FEET]],Manhattan[[#This Row],[SALE_PRICE]])</f>
        <v>12453150</v>
      </c>
    </row>
    <row r="111" spans="1:7" x14ac:dyDescent="0.45">
      <c r="A111" t="s">
        <v>78</v>
      </c>
      <c r="B111" t="s">
        <v>125</v>
      </c>
      <c r="C111">
        <v>10128</v>
      </c>
      <c r="D111" t="s">
        <v>8</v>
      </c>
      <c r="E111">
        <v>4421</v>
      </c>
      <c r="F111">
        <v>14200000</v>
      </c>
      <c r="G111" s="1" cm="1">
        <f t="array" ref="G111">IF(Manhattan[[#This Row],[SALE_PRICE]]=0,_xlfn._xlws.FILTER($O$2:$O$36,($K$2:$K$36=Manhattan[[#This Row],[ZIP_CODE]])*($L$2:$L$36=Manhattan[[#This Row],[BUILDING_CLASS]]))*Manhattan[[#This Row],[SQUARE_FEET]],Manhattan[[#This Row],[SALE_PRICE]])</f>
        <v>14200000</v>
      </c>
    </row>
    <row r="112" spans="1:7" x14ac:dyDescent="0.45">
      <c r="A112" t="s">
        <v>78</v>
      </c>
      <c r="B112" t="s">
        <v>126</v>
      </c>
      <c r="C112">
        <v>10128</v>
      </c>
      <c r="D112" t="s">
        <v>8</v>
      </c>
      <c r="E112">
        <v>5524</v>
      </c>
      <c r="F112">
        <v>0</v>
      </c>
      <c r="G112" s="1" cm="1">
        <f t="array" ref="G112">IF(Manhattan[[#This Row],[SALE_PRICE]]=0,_xlfn._xlws.FILTER($O$2:$O$36,($K$2:$K$36=Manhattan[[#This Row],[ZIP_CODE]])*($L$2:$L$36=Manhattan[[#This Row],[BUILDING_CLASS]]))*Manhattan[[#This Row],[SQUARE_FEET]],Manhattan[[#This Row],[SALE_PRICE]])</f>
        <v>12023261.019727213</v>
      </c>
    </row>
    <row r="113" spans="1:7" x14ac:dyDescent="0.45">
      <c r="A113" t="s">
        <v>78</v>
      </c>
      <c r="B113" t="s">
        <v>127</v>
      </c>
      <c r="C113">
        <v>10128</v>
      </c>
      <c r="D113" t="s">
        <v>8</v>
      </c>
      <c r="E113">
        <v>3928</v>
      </c>
      <c r="F113">
        <v>9750000</v>
      </c>
      <c r="G113" s="1" cm="1">
        <f t="array" ref="G113">IF(Manhattan[[#This Row],[SALE_PRICE]]=0,_xlfn._xlws.FILTER($O$2:$O$36,($K$2:$K$36=Manhattan[[#This Row],[ZIP_CODE]])*($L$2:$L$36=Manhattan[[#This Row],[BUILDING_CLASS]]))*Manhattan[[#This Row],[SQUARE_FEET]],Manhattan[[#This Row],[SALE_PRICE]])</f>
        <v>9750000</v>
      </c>
    </row>
    <row r="114" spans="1:7" x14ac:dyDescent="0.45">
      <c r="A114" t="s">
        <v>78</v>
      </c>
      <c r="B114" t="s">
        <v>128</v>
      </c>
      <c r="C114">
        <v>10128</v>
      </c>
      <c r="D114" t="s">
        <v>8</v>
      </c>
      <c r="E114">
        <v>2880</v>
      </c>
      <c r="F114">
        <v>0</v>
      </c>
      <c r="G114" s="1" cm="1">
        <f t="array" ref="G114">IF(Manhattan[[#This Row],[SALE_PRICE]]=0,_xlfn._xlws.FILTER($O$2:$O$36,($K$2:$K$36=Manhattan[[#This Row],[ZIP_CODE]])*($L$2:$L$36=Manhattan[[#This Row],[BUILDING_CLASS]]))*Manhattan[[#This Row],[SQUARE_FEET]],Manhattan[[#This Row],[SALE_PRICE]])</f>
        <v>6268463.3846514076</v>
      </c>
    </row>
    <row r="115" spans="1:7" x14ac:dyDescent="0.45">
      <c r="A115" t="s">
        <v>78</v>
      </c>
      <c r="B115" t="s">
        <v>129</v>
      </c>
      <c r="C115">
        <v>10128</v>
      </c>
      <c r="D115" t="s">
        <v>8</v>
      </c>
      <c r="E115">
        <v>3232</v>
      </c>
      <c r="F115">
        <v>3300000</v>
      </c>
      <c r="G115" s="1" cm="1">
        <f t="array" ref="G115">IF(Manhattan[[#This Row],[SALE_PRICE]]=0,_xlfn._xlws.FILTER($O$2:$O$36,($K$2:$K$36=Manhattan[[#This Row],[ZIP_CODE]])*($L$2:$L$36=Manhattan[[#This Row],[BUILDING_CLASS]]))*Manhattan[[#This Row],[SQUARE_FEET]],Manhattan[[#This Row],[SALE_PRICE]])</f>
        <v>3300000</v>
      </c>
    </row>
    <row r="116" spans="1:7" x14ac:dyDescent="0.45">
      <c r="A116" t="s">
        <v>78</v>
      </c>
      <c r="B116" t="s">
        <v>130</v>
      </c>
      <c r="C116">
        <v>10128</v>
      </c>
      <c r="D116" t="s">
        <v>8</v>
      </c>
      <c r="E116">
        <v>2720</v>
      </c>
      <c r="F116">
        <v>0</v>
      </c>
      <c r="G116" s="1" cm="1">
        <f t="array" ref="G116">IF(Manhattan[[#This Row],[SALE_PRICE]]=0,_xlfn._xlws.FILTER($O$2:$O$36,($K$2:$K$36=Manhattan[[#This Row],[ZIP_CODE]])*($L$2:$L$36=Manhattan[[#This Row],[BUILDING_CLASS]]))*Manhattan[[#This Row],[SQUARE_FEET]],Manhattan[[#This Row],[SALE_PRICE]])</f>
        <v>5920215.4188374402</v>
      </c>
    </row>
    <row r="117" spans="1:7" x14ac:dyDescent="0.45">
      <c r="A117" t="s">
        <v>78</v>
      </c>
      <c r="B117" t="s">
        <v>131</v>
      </c>
      <c r="C117">
        <v>10128</v>
      </c>
      <c r="D117" t="s">
        <v>8</v>
      </c>
      <c r="E117">
        <v>3760</v>
      </c>
      <c r="F117">
        <v>6550000</v>
      </c>
      <c r="G117" s="1" cm="1">
        <f t="array" ref="G117">IF(Manhattan[[#This Row],[SALE_PRICE]]=0,_xlfn._xlws.FILTER($O$2:$O$36,($K$2:$K$36=Manhattan[[#This Row],[ZIP_CODE]])*($L$2:$L$36=Manhattan[[#This Row],[BUILDING_CLASS]]))*Manhattan[[#This Row],[SQUARE_FEET]],Manhattan[[#This Row],[SALE_PRICE]])</f>
        <v>6550000</v>
      </c>
    </row>
    <row r="118" spans="1:7" x14ac:dyDescent="0.45">
      <c r="A118" t="s">
        <v>78</v>
      </c>
      <c r="B118" t="s">
        <v>132</v>
      </c>
      <c r="C118">
        <v>10128</v>
      </c>
      <c r="D118" t="s">
        <v>8</v>
      </c>
      <c r="E118">
        <v>6420</v>
      </c>
      <c r="F118">
        <v>15500000</v>
      </c>
      <c r="G118" s="1" cm="1">
        <f t="array" ref="G118">IF(Manhattan[[#This Row],[SALE_PRICE]]=0,_xlfn._xlws.FILTER($O$2:$O$36,($K$2:$K$36=Manhattan[[#This Row],[ZIP_CODE]])*($L$2:$L$36=Manhattan[[#This Row],[BUILDING_CLASS]]))*Manhattan[[#This Row],[SQUARE_FEET]],Manhattan[[#This Row],[SALE_PRICE]])</f>
        <v>15500000</v>
      </c>
    </row>
    <row r="119" spans="1:7" x14ac:dyDescent="0.45">
      <c r="A119" t="s">
        <v>78</v>
      </c>
      <c r="B119" t="s">
        <v>133</v>
      </c>
      <c r="C119">
        <v>10128</v>
      </c>
      <c r="D119" t="s">
        <v>8</v>
      </c>
      <c r="E119">
        <v>6775</v>
      </c>
      <c r="F119">
        <v>14999000</v>
      </c>
      <c r="G119" s="1" cm="1">
        <f t="array" ref="G119">IF(Manhattan[[#This Row],[SALE_PRICE]]=0,_xlfn._xlws.FILTER($O$2:$O$36,($K$2:$K$36=Manhattan[[#This Row],[ZIP_CODE]])*($L$2:$L$36=Manhattan[[#This Row],[BUILDING_CLASS]]))*Manhattan[[#This Row],[SQUARE_FEET]],Manhattan[[#This Row],[SALE_PRICE]])</f>
        <v>14999000</v>
      </c>
    </row>
    <row r="120" spans="1:7" x14ac:dyDescent="0.45">
      <c r="A120" t="s">
        <v>78</v>
      </c>
      <c r="B120" t="s">
        <v>134</v>
      </c>
      <c r="C120">
        <v>10128</v>
      </c>
      <c r="D120" t="s">
        <v>8</v>
      </c>
      <c r="E120">
        <v>2430</v>
      </c>
      <c r="F120">
        <v>4700000</v>
      </c>
      <c r="G120" s="1" cm="1">
        <f t="array" ref="G120">IF(Manhattan[[#This Row],[SALE_PRICE]]=0,_xlfn._xlws.FILTER($O$2:$O$36,($K$2:$K$36=Manhattan[[#This Row],[ZIP_CODE]])*($L$2:$L$36=Manhattan[[#This Row],[BUILDING_CLASS]]))*Manhattan[[#This Row],[SQUARE_FEET]],Manhattan[[#This Row],[SALE_PRICE]])</f>
        <v>4700000</v>
      </c>
    </row>
    <row r="121" spans="1:7" x14ac:dyDescent="0.45">
      <c r="A121" t="s">
        <v>78</v>
      </c>
      <c r="B121" t="s">
        <v>135</v>
      </c>
      <c r="C121">
        <v>10128</v>
      </c>
      <c r="D121" t="s">
        <v>8</v>
      </c>
      <c r="E121">
        <v>3200</v>
      </c>
      <c r="F121">
        <v>5365000</v>
      </c>
      <c r="G121" s="1" cm="1">
        <f t="array" ref="G121">IF(Manhattan[[#This Row],[SALE_PRICE]]=0,_xlfn._xlws.FILTER($O$2:$O$36,($K$2:$K$36=Manhattan[[#This Row],[ZIP_CODE]])*($L$2:$L$36=Manhattan[[#This Row],[BUILDING_CLASS]]))*Manhattan[[#This Row],[SQUARE_FEET]],Manhattan[[#This Row],[SALE_PRICE]])</f>
        <v>5365000</v>
      </c>
    </row>
    <row r="122" spans="1:7" x14ac:dyDescent="0.45">
      <c r="A122" t="s">
        <v>78</v>
      </c>
      <c r="B122" t="s">
        <v>136</v>
      </c>
      <c r="C122">
        <v>10128</v>
      </c>
      <c r="D122" t="s">
        <v>15</v>
      </c>
      <c r="E122">
        <v>2168</v>
      </c>
      <c r="F122">
        <v>6000000</v>
      </c>
      <c r="G122" s="1" cm="1">
        <f t="array" ref="G122">IF(Manhattan[[#This Row],[SALE_PRICE]]=0,_xlfn._xlws.FILTER($O$2:$O$36,($K$2:$K$36=Manhattan[[#This Row],[ZIP_CODE]])*($L$2:$L$36=Manhattan[[#This Row],[BUILDING_CLASS]]))*Manhattan[[#This Row],[SQUARE_FEET]],Manhattan[[#This Row],[SALE_PRICE]])</f>
        <v>6000000</v>
      </c>
    </row>
    <row r="123" spans="1:7" x14ac:dyDescent="0.45">
      <c r="A123" t="s">
        <v>78</v>
      </c>
      <c r="B123" t="s">
        <v>137</v>
      </c>
      <c r="C123">
        <v>10128</v>
      </c>
      <c r="D123" t="s">
        <v>15</v>
      </c>
      <c r="E123">
        <v>3536</v>
      </c>
      <c r="F123">
        <v>9500000</v>
      </c>
      <c r="G123" s="1" cm="1">
        <f t="array" ref="G123">IF(Manhattan[[#This Row],[SALE_PRICE]]=0,_xlfn._xlws.FILTER($O$2:$O$36,($K$2:$K$36=Manhattan[[#This Row],[ZIP_CODE]])*($L$2:$L$36=Manhattan[[#This Row],[BUILDING_CLASS]]))*Manhattan[[#This Row],[SQUARE_FEET]],Manhattan[[#This Row],[SALE_PRICE]])</f>
        <v>9500000</v>
      </c>
    </row>
    <row r="124" spans="1:7" x14ac:dyDescent="0.45">
      <c r="A124" t="s">
        <v>78</v>
      </c>
      <c r="B124" t="s">
        <v>138</v>
      </c>
      <c r="C124">
        <v>10128</v>
      </c>
      <c r="D124" t="s">
        <v>15</v>
      </c>
      <c r="E124">
        <v>3168</v>
      </c>
      <c r="F124">
        <v>0</v>
      </c>
      <c r="G124" s="1" cm="1">
        <f t="array" ref="G124">IF(Manhattan[[#This Row],[SALE_PRICE]]=0,_xlfn._xlws.FILTER($O$2:$O$36,($K$2:$K$36=Manhattan[[#This Row],[ZIP_CODE]])*($L$2:$L$36=Manhattan[[#This Row],[BUILDING_CLASS]]))*Manhattan[[#This Row],[SQUARE_FEET]],Manhattan[[#This Row],[SALE_PRICE]])</f>
        <v>7821512.9533678768</v>
      </c>
    </row>
    <row r="125" spans="1:7" x14ac:dyDescent="0.45">
      <c r="A125" t="s">
        <v>78</v>
      </c>
      <c r="B125" t="s">
        <v>139</v>
      </c>
      <c r="C125">
        <v>10128</v>
      </c>
      <c r="D125" t="s">
        <v>15</v>
      </c>
      <c r="E125">
        <v>3946</v>
      </c>
      <c r="F125">
        <v>8325000</v>
      </c>
      <c r="G125" s="1" cm="1">
        <f t="array" ref="G125">IF(Manhattan[[#This Row],[SALE_PRICE]]=0,_xlfn._xlws.FILTER($O$2:$O$36,($K$2:$K$36=Manhattan[[#This Row],[ZIP_CODE]])*($L$2:$L$36=Manhattan[[#This Row],[BUILDING_CLASS]]))*Manhattan[[#This Row],[SQUARE_FEET]],Manhattan[[#This Row],[SALE_PRICE]])</f>
        <v>8325000</v>
      </c>
    </row>
    <row r="126" spans="1:7" x14ac:dyDescent="0.45">
      <c r="A126" t="s">
        <v>140</v>
      </c>
      <c r="B126" t="s">
        <v>141</v>
      </c>
      <c r="C126">
        <v>10023</v>
      </c>
      <c r="D126" t="s">
        <v>8</v>
      </c>
      <c r="E126">
        <v>5467</v>
      </c>
      <c r="F126">
        <v>5700000</v>
      </c>
      <c r="G126" s="1" cm="1">
        <f t="array" ref="G126">IF(Manhattan[[#This Row],[SALE_PRICE]]=0,_xlfn._xlws.FILTER($O$2:$O$36,($K$2:$K$36=Manhattan[[#This Row],[ZIP_CODE]])*($L$2:$L$36=Manhattan[[#This Row],[BUILDING_CLASS]]))*Manhattan[[#This Row],[SQUARE_FEET]],Manhattan[[#This Row],[SALE_PRICE]])</f>
        <v>5700000</v>
      </c>
    </row>
    <row r="127" spans="1:7" x14ac:dyDescent="0.45">
      <c r="A127" t="s">
        <v>140</v>
      </c>
      <c r="B127" t="s">
        <v>142</v>
      </c>
      <c r="C127">
        <v>10023</v>
      </c>
      <c r="D127" t="s">
        <v>8</v>
      </c>
      <c r="E127">
        <v>6380</v>
      </c>
      <c r="F127">
        <v>7650000</v>
      </c>
      <c r="G127" s="1" cm="1">
        <f t="array" ref="G127">IF(Manhattan[[#This Row],[SALE_PRICE]]=0,_xlfn._xlws.FILTER($O$2:$O$36,($K$2:$K$36=Manhattan[[#This Row],[ZIP_CODE]])*($L$2:$L$36=Manhattan[[#This Row],[BUILDING_CLASS]]))*Manhattan[[#This Row],[SQUARE_FEET]],Manhattan[[#This Row],[SALE_PRICE]])</f>
        <v>7650000</v>
      </c>
    </row>
    <row r="128" spans="1:7" x14ac:dyDescent="0.45">
      <c r="A128" t="s">
        <v>140</v>
      </c>
      <c r="B128" t="s">
        <v>143</v>
      </c>
      <c r="C128">
        <v>10023</v>
      </c>
      <c r="D128" t="s">
        <v>8</v>
      </c>
      <c r="E128">
        <v>6956</v>
      </c>
      <c r="F128">
        <v>4320000</v>
      </c>
      <c r="G128" s="1" cm="1">
        <f t="array" ref="G128">IF(Manhattan[[#This Row],[SALE_PRICE]]=0,_xlfn._xlws.FILTER($O$2:$O$36,($K$2:$K$36=Manhattan[[#This Row],[ZIP_CODE]])*($L$2:$L$36=Manhattan[[#This Row],[BUILDING_CLASS]]))*Manhattan[[#This Row],[SQUARE_FEET]],Manhattan[[#This Row],[SALE_PRICE]])</f>
        <v>4320000</v>
      </c>
    </row>
    <row r="129" spans="1:7" x14ac:dyDescent="0.45">
      <c r="A129" t="s">
        <v>140</v>
      </c>
      <c r="B129" t="s">
        <v>144</v>
      </c>
      <c r="C129">
        <v>10023</v>
      </c>
      <c r="D129" t="s">
        <v>8</v>
      </c>
      <c r="E129">
        <v>6450</v>
      </c>
      <c r="F129">
        <v>8180000</v>
      </c>
      <c r="G129" s="1" cm="1">
        <f t="array" ref="G129">IF(Manhattan[[#This Row],[SALE_PRICE]]=0,_xlfn._xlws.FILTER($O$2:$O$36,($K$2:$K$36=Manhattan[[#This Row],[ZIP_CODE]])*($L$2:$L$36=Manhattan[[#This Row],[BUILDING_CLASS]]))*Manhattan[[#This Row],[SQUARE_FEET]],Manhattan[[#This Row],[SALE_PRICE]])</f>
        <v>8180000</v>
      </c>
    </row>
    <row r="130" spans="1:7" x14ac:dyDescent="0.45">
      <c r="A130" t="s">
        <v>140</v>
      </c>
      <c r="B130" t="s">
        <v>145</v>
      </c>
      <c r="C130">
        <v>10023</v>
      </c>
      <c r="D130" t="s">
        <v>8</v>
      </c>
      <c r="E130">
        <v>7820</v>
      </c>
      <c r="F130">
        <v>11500000</v>
      </c>
      <c r="G130" s="1" cm="1">
        <f t="array" ref="G130">IF(Manhattan[[#This Row],[SALE_PRICE]]=0,_xlfn._xlws.FILTER($O$2:$O$36,($K$2:$K$36=Manhattan[[#This Row],[ZIP_CODE]])*($L$2:$L$36=Manhattan[[#This Row],[BUILDING_CLASS]]))*Manhattan[[#This Row],[SQUARE_FEET]],Manhattan[[#This Row],[SALE_PRICE]])</f>
        <v>11500000</v>
      </c>
    </row>
    <row r="131" spans="1:7" x14ac:dyDescent="0.45">
      <c r="A131" t="s">
        <v>140</v>
      </c>
      <c r="B131" t="s">
        <v>146</v>
      </c>
      <c r="C131">
        <v>10023</v>
      </c>
      <c r="D131" t="s">
        <v>15</v>
      </c>
      <c r="E131">
        <v>6576</v>
      </c>
      <c r="F131">
        <v>9800000</v>
      </c>
      <c r="G131" s="1" cm="1">
        <f t="array" ref="G131">IF(Manhattan[[#This Row],[SALE_PRICE]]=0,_xlfn._xlws.FILTER($O$2:$O$36,($K$2:$K$36=Manhattan[[#This Row],[ZIP_CODE]])*($L$2:$L$36=Manhattan[[#This Row],[BUILDING_CLASS]]))*Manhattan[[#This Row],[SQUARE_FEET]],Manhattan[[#This Row],[SALE_PRICE]])</f>
        <v>9800000</v>
      </c>
    </row>
    <row r="132" spans="1:7" x14ac:dyDescent="0.45">
      <c r="A132" t="s">
        <v>140</v>
      </c>
      <c r="B132" t="s">
        <v>147</v>
      </c>
      <c r="C132">
        <v>10024</v>
      </c>
      <c r="D132" t="s">
        <v>8</v>
      </c>
      <c r="E132">
        <v>6254</v>
      </c>
      <c r="F132">
        <v>14600000</v>
      </c>
      <c r="G132" s="1" cm="1">
        <f t="array" ref="G132">IF(Manhattan[[#This Row],[SALE_PRICE]]=0,_xlfn._xlws.FILTER($O$2:$O$36,($K$2:$K$36=Manhattan[[#This Row],[ZIP_CODE]])*($L$2:$L$36=Manhattan[[#This Row],[BUILDING_CLASS]]))*Manhattan[[#This Row],[SQUARE_FEET]],Manhattan[[#This Row],[SALE_PRICE]])</f>
        <v>14600000</v>
      </c>
    </row>
    <row r="133" spans="1:7" x14ac:dyDescent="0.45">
      <c r="A133" t="s">
        <v>140</v>
      </c>
      <c r="B133" t="s">
        <v>148</v>
      </c>
      <c r="C133">
        <v>10024</v>
      </c>
      <c r="D133" t="s">
        <v>8</v>
      </c>
      <c r="E133">
        <v>6645</v>
      </c>
      <c r="F133">
        <v>0</v>
      </c>
      <c r="G133" s="1" cm="1">
        <f t="array" ref="G133">IF(Manhattan[[#This Row],[SALE_PRICE]]=0,_xlfn._xlws.FILTER($O$2:$O$36,($K$2:$K$36=Manhattan[[#This Row],[ZIP_CODE]])*($L$2:$L$36=Manhattan[[#This Row],[BUILDING_CLASS]]))*Manhattan[[#This Row],[SQUARE_FEET]],Manhattan[[#This Row],[SALE_PRICE]])</f>
        <v>13596287.240445381</v>
      </c>
    </row>
    <row r="134" spans="1:7" x14ac:dyDescent="0.45">
      <c r="A134" t="s">
        <v>140</v>
      </c>
      <c r="B134" t="s">
        <v>149</v>
      </c>
      <c r="C134">
        <v>10024</v>
      </c>
      <c r="D134" t="s">
        <v>8</v>
      </c>
      <c r="E134">
        <v>6306</v>
      </c>
      <c r="F134">
        <v>12700000</v>
      </c>
      <c r="G134" s="1" cm="1">
        <f t="array" ref="G134">IF(Manhattan[[#This Row],[SALE_PRICE]]=0,_xlfn._xlws.FILTER($O$2:$O$36,($K$2:$K$36=Manhattan[[#This Row],[ZIP_CODE]])*($L$2:$L$36=Manhattan[[#This Row],[BUILDING_CLASS]]))*Manhattan[[#This Row],[SQUARE_FEET]],Manhattan[[#This Row],[SALE_PRICE]])</f>
        <v>12700000</v>
      </c>
    </row>
    <row r="135" spans="1:7" x14ac:dyDescent="0.45">
      <c r="A135" t="s">
        <v>140</v>
      </c>
      <c r="B135" t="s">
        <v>150</v>
      </c>
      <c r="C135">
        <v>10024</v>
      </c>
      <c r="D135" t="s">
        <v>8</v>
      </c>
      <c r="E135">
        <v>5512</v>
      </c>
      <c r="F135">
        <v>0</v>
      </c>
      <c r="G135" s="1" cm="1">
        <f t="array" ref="G135">IF(Manhattan[[#This Row],[SALE_PRICE]]=0,_xlfn._xlws.FILTER($O$2:$O$36,($K$2:$K$36=Manhattan[[#This Row],[ZIP_CODE]])*($L$2:$L$36=Manhattan[[#This Row],[BUILDING_CLASS]]))*Manhattan[[#This Row],[SQUARE_FEET]],Manhattan[[#This Row],[SALE_PRICE]])</f>
        <v>11278063.998395024</v>
      </c>
    </row>
    <row r="136" spans="1:7" x14ac:dyDescent="0.45">
      <c r="A136" t="s">
        <v>140</v>
      </c>
      <c r="B136" t="s">
        <v>151</v>
      </c>
      <c r="C136">
        <v>10024</v>
      </c>
      <c r="D136" t="s">
        <v>8</v>
      </c>
      <c r="E136">
        <v>5448</v>
      </c>
      <c r="F136">
        <v>0</v>
      </c>
      <c r="G136" s="1" cm="1">
        <f t="array" ref="G136">IF(Manhattan[[#This Row],[SALE_PRICE]]=0,_xlfn._xlws.FILTER($O$2:$O$36,($K$2:$K$36=Manhattan[[#This Row],[ZIP_CODE]])*($L$2:$L$36=Manhattan[[#This Row],[BUILDING_CLASS]]))*Manhattan[[#This Row],[SQUARE_FEET]],Manhattan[[#This Row],[SALE_PRICE]])</f>
        <v>11147114.053566055</v>
      </c>
    </row>
    <row r="137" spans="1:7" x14ac:dyDescent="0.45">
      <c r="A137" t="s">
        <v>140</v>
      </c>
      <c r="B137" t="s">
        <v>152</v>
      </c>
      <c r="C137">
        <v>10024</v>
      </c>
      <c r="D137" t="s">
        <v>8</v>
      </c>
      <c r="E137">
        <v>4402</v>
      </c>
      <c r="F137">
        <v>9995000</v>
      </c>
      <c r="G137" s="1" cm="1">
        <f t="array" ref="G137">IF(Manhattan[[#This Row],[SALE_PRICE]]=0,_xlfn._xlws.FILTER($O$2:$O$36,($K$2:$K$36=Manhattan[[#This Row],[ZIP_CODE]])*($L$2:$L$36=Manhattan[[#This Row],[BUILDING_CLASS]]))*Manhattan[[#This Row],[SQUARE_FEET]],Manhattan[[#This Row],[SALE_PRICE]])</f>
        <v>9995000</v>
      </c>
    </row>
    <row r="138" spans="1:7" x14ac:dyDescent="0.45">
      <c r="A138" t="s">
        <v>140</v>
      </c>
      <c r="B138" t="s">
        <v>153</v>
      </c>
      <c r="C138">
        <v>10024</v>
      </c>
      <c r="D138" t="s">
        <v>8</v>
      </c>
      <c r="E138">
        <v>2976</v>
      </c>
      <c r="F138">
        <v>3500000</v>
      </c>
      <c r="G138" s="1" cm="1">
        <f t="array" ref="G138">IF(Manhattan[[#This Row],[SALE_PRICE]]=0,_xlfn._xlws.FILTER($O$2:$O$36,($K$2:$K$36=Manhattan[[#This Row],[ZIP_CODE]])*($L$2:$L$36=Manhattan[[#This Row],[BUILDING_CLASS]]))*Manhattan[[#This Row],[SQUARE_FEET]],Manhattan[[#This Row],[SALE_PRICE]])</f>
        <v>3500000</v>
      </c>
    </row>
    <row r="139" spans="1:7" x14ac:dyDescent="0.45">
      <c r="A139" t="s">
        <v>140</v>
      </c>
      <c r="B139" t="s">
        <v>153</v>
      </c>
      <c r="C139">
        <v>10024</v>
      </c>
      <c r="D139" t="s">
        <v>8</v>
      </c>
      <c r="E139">
        <v>2976</v>
      </c>
      <c r="F139">
        <v>0</v>
      </c>
      <c r="G139" s="1" cm="1">
        <f t="array" ref="G139">IF(Manhattan[[#This Row],[SALE_PRICE]]=0,_xlfn._xlws.FILTER($O$2:$O$36,($K$2:$K$36=Manhattan[[#This Row],[ZIP_CODE]])*($L$2:$L$36=Manhattan[[#This Row],[BUILDING_CLASS]]))*Manhattan[[#This Row],[SQUARE_FEET]],Manhattan[[#This Row],[SALE_PRICE]])</f>
        <v>6089172.4345470956</v>
      </c>
    </row>
    <row r="140" spans="1:7" x14ac:dyDescent="0.45">
      <c r="A140" t="s">
        <v>140</v>
      </c>
      <c r="B140" t="s">
        <v>154</v>
      </c>
      <c r="C140">
        <v>10024</v>
      </c>
      <c r="D140" t="s">
        <v>28</v>
      </c>
      <c r="E140">
        <v>3651</v>
      </c>
      <c r="F140">
        <v>0</v>
      </c>
      <c r="G140" s="1" cm="1">
        <f t="array" ref="G140">IF(Manhattan[[#This Row],[SALE_PRICE]]=0,_xlfn._xlws.FILTER($O$2:$O$36,($K$2:$K$36=Manhattan[[#This Row],[ZIP_CODE]])*($L$2:$L$36=Manhattan[[#This Row],[BUILDING_CLASS]]))*Manhattan[[#This Row],[SQUARE_FEET]],Manhattan[[#This Row],[SALE_PRICE]])</f>
        <v>5819396.763119176</v>
      </c>
    </row>
    <row r="141" spans="1:7" x14ac:dyDescent="0.45">
      <c r="A141" t="s">
        <v>140</v>
      </c>
      <c r="B141" t="s">
        <v>155</v>
      </c>
      <c r="C141">
        <v>10024</v>
      </c>
      <c r="D141" t="s">
        <v>28</v>
      </c>
      <c r="E141">
        <v>4078</v>
      </c>
      <c r="F141">
        <v>6500000</v>
      </c>
      <c r="G141" s="1" cm="1">
        <f t="array" ref="G141">IF(Manhattan[[#This Row],[SALE_PRICE]]=0,_xlfn._xlws.FILTER($O$2:$O$36,($K$2:$K$36=Manhattan[[#This Row],[ZIP_CODE]])*($L$2:$L$36=Manhattan[[#This Row],[BUILDING_CLASS]]))*Manhattan[[#This Row],[SQUARE_FEET]],Manhattan[[#This Row],[SALE_PRICE]])</f>
        <v>6500000</v>
      </c>
    </row>
    <row r="142" spans="1:7" x14ac:dyDescent="0.45">
      <c r="A142" t="s">
        <v>156</v>
      </c>
      <c r="B142" t="s">
        <v>157</v>
      </c>
      <c r="C142">
        <v>10032</v>
      </c>
      <c r="D142" t="s">
        <v>67</v>
      </c>
      <c r="E142">
        <v>1500</v>
      </c>
      <c r="F142">
        <v>1540000</v>
      </c>
      <c r="G142" s="1" cm="1">
        <f t="array" ref="G142">IF(Manhattan[[#This Row],[SALE_PRICE]]=0,_xlfn._xlws.FILTER($O$2:$O$36,($K$2:$K$36=Manhattan[[#This Row],[ZIP_CODE]])*($L$2:$L$36=Manhattan[[#This Row],[BUILDING_CLASS]]))*Manhattan[[#This Row],[SQUARE_FEET]],Manhattan[[#This Row],[SALE_PRICE]])</f>
        <v>1540000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manhattan_property_sales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Bacon</cp:lastModifiedBy>
  <dcterms:created xsi:type="dcterms:W3CDTF">2026-04-04T23:12:40Z</dcterms:created>
  <dcterms:modified xsi:type="dcterms:W3CDTF">2026-04-04T23:56:11Z</dcterms:modified>
</cp:coreProperties>
</file>